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01011230\Desktop\備蓄品管理システム\03_設計書\①基本設計書\03.機能設計\01.機能詳細\10.災害一覧\"/>
    </mc:Choice>
  </mc:AlternateContent>
  <bookViews>
    <workbookView xWindow="96" yWindow="168" windowWidth="15396" windowHeight="10920" tabRatio="869" activeTab="1"/>
  </bookViews>
  <sheets>
    <sheet name="目次" sheetId="1" r:id="rId1"/>
    <sheet name="災害一覧" sheetId="24" r:id="rId2"/>
    <sheet name="災害登録" sheetId="26" r:id="rId3"/>
    <sheet name="災害詳細" sheetId="25" r:id="rId4"/>
    <sheet name="災害修正" sheetId="27" r:id="rId5"/>
  </sheets>
  <definedNames>
    <definedName name="_xlnm.Print_Area" localSheetId="1">災害一覧!$A$1:$Y$207</definedName>
    <definedName name="_xlnm.Print_Area" localSheetId="4">災害修正!$A$1:$Y$155</definedName>
    <definedName name="_xlnm.Print_Area" localSheetId="3">災害詳細!$A$1:$Y$155</definedName>
    <definedName name="_xlnm.Print_Area" localSheetId="2">災害登録!$A$1:$Y$155</definedName>
    <definedName name="_xlnm.Print_Area" localSheetId="0">目次!$A$1:$Y$58</definedName>
    <definedName name="_xlnm.Print_Titles" localSheetId="1">災害一覧!$1:$6</definedName>
    <definedName name="_xlnm.Print_Titles" localSheetId="4">災害修正!$1:$6</definedName>
    <definedName name="_xlnm.Print_Titles" localSheetId="3">災害詳細!$1:$6</definedName>
    <definedName name="_xlnm.Print_Titles" localSheetId="2">災害登録!$1:$6</definedName>
    <definedName name="Z_0BEAC79D_708F_45FD_A222_055D201B52D5_.wvu.PrintArea" localSheetId="1" hidden="1">災害一覧!$A$1:$Y$207</definedName>
    <definedName name="Z_0BEAC79D_708F_45FD_A222_055D201B52D5_.wvu.PrintArea" localSheetId="4" hidden="1">災害修正!$A$1:$Y$155</definedName>
    <definedName name="Z_0BEAC79D_708F_45FD_A222_055D201B52D5_.wvu.PrintArea" localSheetId="3" hidden="1">災害詳細!$A$1:$Y$155</definedName>
    <definedName name="Z_0BEAC79D_708F_45FD_A222_055D201B52D5_.wvu.PrintArea" localSheetId="2" hidden="1">災害登録!$A$1:$Y$155</definedName>
    <definedName name="Z_0BEAC79D_708F_45FD_A222_055D201B52D5_.wvu.PrintArea" localSheetId="0" hidden="1">目次!$A$1:$Y$58</definedName>
    <definedName name="Z_0BEAC79D_708F_45FD_A222_055D201B52D5_.wvu.PrintTitles" localSheetId="1" hidden="1">災害一覧!$1:$6</definedName>
    <definedName name="Z_0BEAC79D_708F_45FD_A222_055D201B52D5_.wvu.PrintTitles" localSheetId="4" hidden="1">災害修正!$1:$6</definedName>
    <definedName name="Z_0BEAC79D_708F_45FD_A222_055D201B52D5_.wvu.PrintTitles" localSheetId="3" hidden="1">災害詳細!$1:$6</definedName>
    <definedName name="Z_0BEAC79D_708F_45FD_A222_055D201B52D5_.wvu.PrintTitles" localSheetId="2" hidden="1">災害登録!$1:$6</definedName>
    <definedName name="Z_0BEAC79D_708F_45FD_A222_055D201B52D5_.wvu.Rows" localSheetId="1" hidden="1">災害一覧!#REF!</definedName>
    <definedName name="Z_0BEAC79D_708F_45FD_A222_055D201B52D5_.wvu.Rows" localSheetId="4" hidden="1">災害修正!#REF!</definedName>
    <definedName name="Z_0BEAC79D_708F_45FD_A222_055D201B52D5_.wvu.Rows" localSheetId="3" hidden="1">災害詳細!#REF!</definedName>
    <definedName name="Z_0BEAC79D_708F_45FD_A222_055D201B52D5_.wvu.Rows" localSheetId="2" hidden="1">災害登録!#REF!</definedName>
    <definedName name="Z_306D1AAA_0140_4D40_9745_D8F442D56CF2_.wvu.PrintArea" localSheetId="1" hidden="1">災害一覧!$A$1:$Y$207</definedName>
    <definedName name="Z_306D1AAA_0140_4D40_9745_D8F442D56CF2_.wvu.PrintArea" localSheetId="4" hidden="1">災害修正!$A$1:$Y$155</definedName>
    <definedName name="Z_306D1AAA_0140_4D40_9745_D8F442D56CF2_.wvu.PrintArea" localSheetId="3" hidden="1">災害詳細!$A$1:$Y$155</definedName>
    <definedName name="Z_306D1AAA_0140_4D40_9745_D8F442D56CF2_.wvu.PrintArea" localSheetId="2" hidden="1">災害登録!$A$1:$Y$155</definedName>
    <definedName name="Z_306D1AAA_0140_4D40_9745_D8F442D56CF2_.wvu.PrintArea" localSheetId="0" hidden="1">目次!$A$1:$Y$58</definedName>
    <definedName name="Z_306D1AAA_0140_4D40_9745_D8F442D56CF2_.wvu.PrintTitles" localSheetId="1" hidden="1">災害一覧!$1:$6</definedName>
    <definedName name="Z_306D1AAA_0140_4D40_9745_D8F442D56CF2_.wvu.PrintTitles" localSheetId="4" hidden="1">災害修正!$1:$6</definedName>
    <definedName name="Z_306D1AAA_0140_4D40_9745_D8F442D56CF2_.wvu.PrintTitles" localSheetId="3" hidden="1">災害詳細!$1:$6</definedName>
    <definedName name="Z_306D1AAA_0140_4D40_9745_D8F442D56CF2_.wvu.PrintTitles" localSheetId="2" hidden="1">災害登録!$1:$6</definedName>
    <definedName name="Z_306D1AAA_0140_4D40_9745_D8F442D56CF2_.wvu.Rows" localSheetId="1" hidden="1">災害一覧!#REF!</definedName>
    <definedName name="Z_306D1AAA_0140_4D40_9745_D8F442D56CF2_.wvu.Rows" localSheetId="4" hidden="1">災害修正!#REF!</definedName>
    <definedName name="Z_306D1AAA_0140_4D40_9745_D8F442D56CF2_.wvu.Rows" localSheetId="3" hidden="1">災害詳細!#REF!</definedName>
    <definedName name="Z_306D1AAA_0140_4D40_9745_D8F442D56CF2_.wvu.Rows" localSheetId="2" hidden="1">災害登録!#REF!</definedName>
    <definedName name="Z_BDBA9E3C_757D_4583_A236_21E32FC5642C_.wvu.PrintArea" localSheetId="1" hidden="1">災害一覧!$A$1:$Y$207</definedName>
    <definedName name="Z_BDBA9E3C_757D_4583_A236_21E32FC5642C_.wvu.PrintArea" localSheetId="4" hidden="1">災害修正!$A$1:$Y$155</definedName>
    <definedName name="Z_BDBA9E3C_757D_4583_A236_21E32FC5642C_.wvu.PrintArea" localSheetId="3" hidden="1">災害詳細!$A$1:$Y$155</definedName>
    <definedName name="Z_BDBA9E3C_757D_4583_A236_21E32FC5642C_.wvu.PrintArea" localSheetId="2" hidden="1">災害登録!$A$1:$Y$155</definedName>
    <definedName name="Z_BDBA9E3C_757D_4583_A236_21E32FC5642C_.wvu.PrintArea" localSheetId="0" hidden="1">目次!$A$1:$Y$58</definedName>
    <definedName name="Z_BDBA9E3C_757D_4583_A236_21E32FC5642C_.wvu.PrintTitles" localSheetId="1" hidden="1">災害一覧!$1:$6</definedName>
    <definedName name="Z_BDBA9E3C_757D_4583_A236_21E32FC5642C_.wvu.PrintTitles" localSheetId="4" hidden="1">災害修正!$1:$6</definedName>
    <definedName name="Z_BDBA9E3C_757D_4583_A236_21E32FC5642C_.wvu.PrintTitles" localSheetId="3" hidden="1">災害詳細!$1:$6</definedName>
    <definedName name="Z_BDBA9E3C_757D_4583_A236_21E32FC5642C_.wvu.PrintTitles" localSheetId="2" hidden="1">災害登録!$1:$6</definedName>
    <definedName name="Z_BDBA9E3C_757D_4583_A236_21E32FC5642C_.wvu.Rows" localSheetId="1" hidden="1">災害一覧!#REF!</definedName>
    <definedName name="Z_BDBA9E3C_757D_4583_A236_21E32FC5642C_.wvu.Rows" localSheetId="4" hidden="1">災害修正!#REF!</definedName>
    <definedName name="Z_BDBA9E3C_757D_4583_A236_21E32FC5642C_.wvu.Rows" localSheetId="3" hidden="1">災害詳細!#REF!</definedName>
    <definedName name="Z_BDBA9E3C_757D_4583_A236_21E32FC5642C_.wvu.Rows" localSheetId="2" hidden="1">災害登録!#REF!</definedName>
  </definedNames>
  <calcPr calcId="152511"/>
  <customWorkbookViews>
    <customWorkbookView name="y-sakaki - 個人用ビュー" guid="{BDBA9E3C-757D-4583-A236-21E32FC5642C}" mergeInterval="0" personalView="1" xWindow="12" yWindow="38" windowWidth="1014" windowHeight="695" tabRatio="870" activeSheetId="20"/>
    <customWorkbookView name="densei - 個人用ビュー" guid="{306D1AAA-0140-4D40-9745-D8F442D56CF2}" mergeInterval="0" personalView="1" maximized="1" xWindow="1" yWindow="1" windowWidth="652" windowHeight="802" tabRatio="870" activeSheetId="1"/>
    <customWorkbookView name="1001010090 - 個人用ビュー" guid="{0BEAC79D-708F-45FD-A222-055D201B52D5}" mergeInterval="0" personalView="1" maximized="1" windowWidth="1020" windowHeight="577" tabRatio="870" activeSheetId="7"/>
  </customWorkbookViews>
</workbook>
</file>

<file path=xl/calcChain.xml><?xml version="1.0" encoding="utf-8"?>
<calcChain xmlns="http://schemas.openxmlformats.org/spreadsheetml/2006/main">
  <c r="A4" i="1" l="1"/>
  <c r="D34" i="1"/>
  <c r="D32" i="1"/>
  <c r="D30" i="1"/>
  <c r="D28" i="1"/>
  <c r="D26" i="1"/>
  <c r="D24" i="1"/>
  <c r="D22" i="1"/>
  <c r="D20" i="1"/>
  <c r="D18" i="1"/>
  <c r="D16" i="1"/>
  <c r="D14" i="1"/>
  <c r="D12" i="1"/>
  <c r="D10" i="1"/>
  <c r="D8" i="1"/>
  <c r="A4" i="27" l="1"/>
  <c r="A3" i="27"/>
  <c r="A2" i="27"/>
  <c r="D1" i="27"/>
  <c r="A3" i="26"/>
  <c r="A2" i="26"/>
  <c r="D1" i="26"/>
  <c r="A4" i="25"/>
  <c r="A3" i="25"/>
  <c r="A2" i="25"/>
  <c r="D1" i="25"/>
  <c r="A4" i="26"/>
  <c r="D6" i="27"/>
  <c r="D6" i="25"/>
  <c r="D6" i="26"/>
  <c r="D6" i="24"/>
  <c r="D2" i="1"/>
  <c r="D2" i="27" s="1"/>
  <c r="D1" i="24"/>
  <c r="A2" i="24"/>
  <c r="A3" i="24"/>
  <c r="D2" i="24" l="1"/>
  <c r="D2" i="26"/>
  <c r="A4" i="24"/>
  <c r="D2" i="25"/>
</calcChain>
</file>

<file path=xl/sharedStrings.xml><?xml version="1.0" encoding="utf-8"?>
<sst xmlns="http://schemas.openxmlformats.org/spreadsheetml/2006/main" count="656" uniqueCount="333">
  <si>
    <t>章番号</t>
    <rPh sb="0" eb="1">
      <t>ショウ</t>
    </rPh>
    <rPh sb="1" eb="3">
      <t>バンゴウ</t>
    </rPh>
    <phoneticPr fontId="2"/>
  </si>
  <si>
    <t>機能名</t>
    <rPh sb="0" eb="2">
      <t>キノウ</t>
    </rPh>
    <rPh sb="2" eb="3">
      <t>メイ</t>
    </rPh>
    <phoneticPr fontId="2"/>
  </si>
  <si>
    <t>№</t>
    <phoneticPr fontId="2"/>
  </si>
  <si>
    <t>トリガー</t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</si>
  <si>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</si>
  <si>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</si>
  <si>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更新者</t>
    <rPh sb="0" eb="2">
      <t>コウシン</t>
    </rPh>
    <rPh sb="2" eb="3">
      <t>シャ</t>
    </rPh>
    <phoneticPr fontId="2"/>
  </si>
  <si>
    <t>システム名</t>
    <rPh sb="4" eb="5">
      <t>メイ</t>
    </rPh>
    <phoneticPr fontId="2"/>
  </si>
  <si>
    <t>協和エクシオ</t>
    <rPh sb="0" eb="2">
      <t>キョウワ</t>
    </rPh>
    <phoneticPr fontId="2"/>
  </si>
  <si>
    <t>画面名</t>
    <rPh sb="0" eb="2">
      <t>ガメン</t>
    </rPh>
    <rPh sb="2" eb="3">
      <t>メイ</t>
    </rPh>
    <phoneticPr fontId="2"/>
  </si>
  <si>
    <t>項目名</t>
    <rPh sb="0" eb="2">
      <t>コウモク</t>
    </rPh>
    <rPh sb="2" eb="3">
      <t>メイ</t>
    </rPh>
    <phoneticPr fontId="2"/>
  </si>
  <si>
    <t>処理内容</t>
    <rPh sb="0" eb="2">
      <t>ショリ</t>
    </rPh>
    <rPh sb="2" eb="4">
      <t>ナイヨウ</t>
    </rPh>
    <phoneticPr fontId="2"/>
  </si>
  <si>
    <t>名称</t>
    <rPh sb="0" eb="2">
      <t>メイショウ</t>
    </rPh>
    <phoneticPr fontId="2"/>
  </si>
  <si>
    <t>ＯＫとなる条件</t>
    <rPh sb="5" eb="7">
      <t>ジョウケン</t>
    </rPh>
    <phoneticPr fontId="2"/>
  </si>
  <si>
    <t>表示場所</t>
    <rPh sb="0" eb="2">
      <t>ヒョウジ</t>
    </rPh>
    <rPh sb="2" eb="4">
      <t>バショ</t>
    </rPh>
    <phoneticPr fontId="2"/>
  </si>
  <si>
    <t>エラーの条件</t>
    <rPh sb="4" eb="6">
      <t>ジョウケン</t>
    </rPh>
    <phoneticPr fontId="2"/>
  </si>
  <si>
    <t>更新日</t>
    <rPh sb="0" eb="3">
      <t>コウシンビ</t>
    </rPh>
    <phoneticPr fontId="2"/>
  </si>
  <si>
    <t>№</t>
    <phoneticPr fontId="2"/>
  </si>
  <si>
    <t>　</t>
    <phoneticPr fontId="2"/>
  </si>
  <si>
    <t>押下時</t>
    <rPh sb="0" eb="2">
      <t>オウカ</t>
    </rPh>
    <rPh sb="2" eb="3">
      <t>ジ</t>
    </rPh>
    <phoneticPr fontId="2"/>
  </si>
  <si>
    <t>章</t>
    <rPh sb="0" eb="1">
      <t>ショウ</t>
    </rPh>
    <phoneticPr fontId="2"/>
  </si>
  <si>
    <t>災害一覧</t>
  </si>
  <si>
    <t>節</t>
    <rPh sb="0" eb="1">
      <t>セツ</t>
    </rPh>
    <phoneticPr fontId="2"/>
  </si>
  <si>
    <t>項</t>
    <rPh sb="0" eb="1">
      <t>コウ</t>
    </rPh>
    <phoneticPr fontId="2"/>
  </si>
  <si>
    <t>段</t>
    <rPh sb="0" eb="1">
      <t>ダン</t>
    </rPh>
    <phoneticPr fontId="2"/>
  </si>
  <si>
    <t>災害一覧</t>
    <phoneticPr fontId="2"/>
  </si>
  <si>
    <t>災害登録</t>
  </si>
  <si>
    <t>災害詳細</t>
  </si>
  <si>
    <t>災害修正</t>
  </si>
  <si>
    <t>機能設計</t>
    <rPh sb="0" eb="2">
      <t>キノウ</t>
    </rPh>
    <rPh sb="2" eb="4">
      <t>セッケイ</t>
    </rPh>
    <phoneticPr fontId="2"/>
  </si>
  <si>
    <t>番</t>
    <rPh sb="0" eb="1">
      <t>バン</t>
    </rPh>
    <phoneticPr fontId="2"/>
  </si>
  <si>
    <t>機能名</t>
    <rPh sb="0" eb="2">
      <t>キノウ</t>
    </rPh>
    <rPh sb="2" eb="3">
      <t>メイ</t>
    </rPh>
    <phoneticPr fontId="2"/>
  </si>
  <si>
    <t>処理名</t>
    <rPh sb="0" eb="2">
      <t>ショリ</t>
    </rPh>
    <rPh sb="2" eb="3">
      <t>メイ</t>
    </rPh>
    <phoneticPr fontId="2"/>
  </si>
  <si>
    <t>章分類</t>
    <rPh sb="0" eb="1">
      <t>ショウ</t>
    </rPh>
    <rPh sb="1" eb="3">
      <t>ブンルイ</t>
    </rPh>
    <phoneticPr fontId="2"/>
  </si>
  <si>
    <t>節分類</t>
    <rPh sb="0" eb="1">
      <t>セツ</t>
    </rPh>
    <rPh sb="1" eb="3">
      <t>ブンルイ</t>
    </rPh>
    <phoneticPr fontId="2"/>
  </si>
  <si>
    <t>機能詳細</t>
    <phoneticPr fontId="2"/>
  </si>
  <si>
    <t>―</t>
    <phoneticPr fontId="2"/>
  </si>
  <si>
    <t>初期表示</t>
    <phoneticPr fontId="2"/>
  </si>
  <si>
    <t>＜1.1　前提条件＞</t>
    <phoneticPr fontId="2"/>
  </si>
  <si>
    <t>1.1.1</t>
    <phoneticPr fontId="2"/>
  </si>
  <si>
    <t>1.1.2</t>
    <phoneticPr fontId="2"/>
  </si>
  <si>
    <t>1.1.3</t>
    <phoneticPr fontId="2"/>
  </si>
  <si>
    <t>＜1.2　初期処理＞</t>
    <rPh sb="5" eb="7">
      <t>ショキ</t>
    </rPh>
    <rPh sb="7" eb="9">
      <t>ショリ</t>
    </rPh>
    <phoneticPr fontId="2"/>
  </si>
  <si>
    <t>・ 結果がゼロ件の場合、下記項目を非活性にする。</t>
    <rPh sb="2" eb="4">
      <t>ケッカ</t>
    </rPh>
    <rPh sb="7" eb="8">
      <t>ケン</t>
    </rPh>
    <rPh sb="9" eb="11">
      <t>バアイ</t>
    </rPh>
    <rPh sb="12" eb="14">
      <t>カキ</t>
    </rPh>
    <rPh sb="14" eb="16">
      <t>コウモク</t>
    </rPh>
    <rPh sb="17" eb="18">
      <t>ヒ</t>
    </rPh>
    <rPh sb="18" eb="20">
      <t>カッセイ</t>
    </rPh>
    <phoneticPr fontId="2"/>
  </si>
  <si>
    <t>・ ページ遷移リンク</t>
    <rPh sb="5" eb="7">
      <t>センイ</t>
    </rPh>
    <phoneticPr fontId="2"/>
  </si>
  <si>
    <t>ページ遷移リンクの設定。</t>
    <rPh sb="9" eb="11">
      <t>セッテイ</t>
    </rPh>
    <phoneticPr fontId="2"/>
  </si>
  <si>
    <t>・ 次ページがある場合は、次ページリンクを設定する。</t>
    <phoneticPr fontId="2"/>
  </si>
  <si>
    <t>地図画面より遷移する。</t>
    <rPh sb="0" eb="2">
      <t>チズ</t>
    </rPh>
    <rPh sb="2" eb="4">
      <t>ガメン</t>
    </rPh>
    <rPh sb="6" eb="8">
      <t>センイ</t>
    </rPh>
    <phoneticPr fontId="2"/>
  </si>
  <si>
    <t>災害詳細画面より遷移する。</t>
    <rPh sb="0" eb="2">
      <t>サイガイ</t>
    </rPh>
    <rPh sb="2" eb="4">
      <t>ショウサイ</t>
    </rPh>
    <rPh sb="4" eb="6">
      <t>ガメン</t>
    </rPh>
    <rPh sb="8" eb="10">
      <t>センイ</t>
    </rPh>
    <phoneticPr fontId="2"/>
  </si>
  <si>
    <t>検索ボタン</t>
    <rPh sb="0" eb="2">
      <t>ケンサク</t>
    </rPh>
    <phoneticPr fontId="2"/>
  </si>
  <si>
    <t>＜2.1　前提条件＞</t>
    <phoneticPr fontId="2"/>
  </si>
  <si>
    <t>2.1.1</t>
    <phoneticPr fontId="2"/>
  </si>
  <si>
    <t>検索ボタンを押下する。</t>
    <rPh sb="0" eb="2">
      <t>ケンサク</t>
    </rPh>
    <rPh sb="6" eb="8">
      <t>オウカ</t>
    </rPh>
    <phoneticPr fontId="2"/>
  </si>
  <si>
    <t>＜2.2　一覧検索処理＞</t>
    <rPh sb="5" eb="7">
      <t>イチラン</t>
    </rPh>
    <rPh sb="7" eb="9">
      <t>ケンサク</t>
    </rPh>
    <rPh sb="9" eb="11">
      <t>ショリ</t>
    </rPh>
    <phoneticPr fontId="2"/>
  </si>
  <si>
    <t>2.2.1</t>
    <phoneticPr fontId="2"/>
  </si>
  <si>
    <t>属性チェック</t>
    <rPh sb="0" eb="2">
      <t>ゾクセイ</t>
    </rPh>
    <phoneticPr fontId="2"/>
  </si>
  <si>
    <t>2.2.2</t>
    <phoneticPr fontId="2"/>
  </si>
  <si>
    <t>・ 未入力の場合、チェックしない。</t>
    <rPh sb="2" eb="5">
      <t>ミニュウリョク</t>
    </rPh>
    <rPh sb="6" eb="8">
      <t>バアイ</t>
    </rPh>
    <phoneticPr fontId="2"/>
  </si>
  <si>
    <t>2.2.3</t>
    <phoneticPr fontId="2"/>
  </si>
  <si>
    <t>災害名</t>
    <rPh sb="0" eb="2">
      <t>サイガイ</t>
    </rPh>
    <rPh sb="2" eb="3">
      <t>メイ</t>
    </rPh>
    <phoneticPr fontId="2"/>
  </si>
  <si>
    <t>あいまい検索可能。</t>
    <rPh sb="4" eb="6">
      <t>ケンサク</t>
    </rPh>
    <rPh sb="6" eb="8">
      <t>カノウ</t>
    </rPh>
    <phoneticPr fontId="2"/>
  </si>
  <si>
    <t>災害発生日時</t>
    <rPh sb="0" eb="2">
      <t>サイガイ</t>
    </rPh>
    <rPh sb="2" eb="4">
      <t>ハッセイ</t>
    </rPh>
    <rPh sb="4" eb="6">
      <t>ニチジ</t>
    </rPh>
    <phoneticPr fontId="2"/>
  </si>
  <si>
    <t>クリアボタン</t>
    <phoneticPr fontId="2"/>
  </si>
  <si>
    <t>＜3.1　前提条件＞</t>
    <phoneticPr fontId="2"/>
  </si>
  <si>
    <t>3.1.1</t>
    <phoneticPr fontId="2"/>
  </si>
  <si>
    <t>クリアボタンを押下する。</t>
    <phoneticPr fontId="2"/>
  </si>
  <si>
    <t>＜3.2　クリア処理＞</t>
    <rPh sb="8" eb="10">
      <t>ショリ</t>
    </rPh>
    <phoneticPr fontId="2"/>
  </si>
  <si>
    <t>3.2.1</t>
    <phoneticPr fontId="2"/>
  </si>
  <si>
    <t>検索エリアの各項目を、初期表示時の状態に戻す。</t>
    <rPh sb="0" eb="2">
      <t>ケンサク</t>
    </rPh>
    <rPh sb="6" eb="9">
      <t>カクコウモク</t>
    </rPh>
    <rPh sb="11" eb="13">
      <t>ショキ</t>
    </rPh>
    <rPh sb="13" eb="15">
      <t>ヒョウジ</t>
    </rPh>
    <rPh sb="15" eb="16">
      <t>ジ</t>
    </rPh>
    <rPh sb="17" eb="19">
      <t>ジョウタイ</t>
    </rPh>
    <rPh sb="20" eb="21">
      <t>モド</t>
    </rPh>
    <phoneticPr fontId="2"/>
  </si>
  <si>
    <t>№</t>
    <phoneticPr fontId="2"/>
  </si>
  <si>
    <t>トリガー</t>
    <phoneticPr fontId="2"/>
  </si>
  <si>
    <t>＜4.1　前提条件＞</t>
    <phoneticPr fontId="2"/>
  </si>
  <si>
    <t>4.1.1</t>
    <phoneticPr fontId="2"/>
  </si>
  <si>
    <t>＜4.2　画面遷移処理＞</t>
    <rPh sb="5" eb="7">
      <t>ガメン</t>
    </rPh>
    <rPh sb="7" eb="9">
      <t>センイ</t>
    </rPh>
    <rPh sb="9" eb="11">
      <t>ショリ</t>
    </rPh>
    <phoneticPr fontId="2"/>
  </si>
  <si>
    <t>4.2.1</t>
    <phoneticPr fontId="2"/>
  </si>
  <si>
    <t>クリック時</t>
    <phoneticPr fontId="2"/>
  </si>
  <si>
    <t>＜5.1　前提条件＞</t>
    <phoneticPr fontId="2"/>
  </si>
  <si>
    <t>5.1.1</t>
    <phoneticPr fontId="2"/>
  </si>
  <si>
    <t>＜5.2　画面遷移処理＞</t>
    <rPh sb="5" eb="7">
      <t>ガメン</t>
    </rPh>
    <rPh sb="7" eb="9">
      <t>センイ</t>
    </rPh>
    <rPh sb="9" eb="11">
      <t>ショリ</t>
    </rPh>
    <phoneticPr fontId="2"/>
  </si>
  <si>
    <t>5.2.1</t>
    <phoneticPr fontId="2"/>
  </si>
  <si>
    <t>一覧表示件数切替</t>
    <rPh sb="0" eb="2">
      <t>イチラン</t>
    </rPh>
    <rPh sb="2" eb="4">
      <t>ヒョウジ</t>
    </rPh>
    <rPh sb="4" eb="6">
      <t>ケンスウ</t>
    </rPh>
    <rPh sb="6" eb="8">
      <t>キリカエ</t>
    </rPh>
    <phoneticPr fontId="2"/>
  </si>
  <si>
    <t>変更時</t>
    <rPh sb="0" eb="2">
      <t>ヘンコウ</t>
    </rPh>
    <rPh sb="2" eb="3">
      <t>ジ</t>
    </rPh>
    <phoneticPr fontId="2"/>
  </si>
  <si>
    <t>＜6.1　前提条件＞</t>
    <phoneticPr fontId="2"/>
  </si>
  <si>
    <t>6.1.1</t>
    <phoneticPr fontId="2"/>
  </si>
  <si>
    <t>一覧表示件数を別の値に変更する。</t>
    <rPh sb="0" eb="2">
      <t>イチラン</t>
    </rPh>
    <rPh sb="2" eb="4">
      <t>ヒョウジ</t>
    </rPh>
    <rPh sb="4" eb="6">
      <t>ケンスウ</t>
    </rPh>
    <rPh sb="7" eb="8">
      <t>ベツ</t>
    </rPh>
    <rPh sb="9" eb="10">
      <t>アタイ</t>
    </rPh>
    <rPh sb="11" eb="13">
      <t>ヘンコウ</t>
    </rPh>
    <phoneticPr fontId="2"/>
  </si>
  <si>
    <t>6.2.1</t>
    <phoneticPr fontId="2"/>
  </si>
  <si>
    <t>ページ遷移リンク</t>
    <rPh sb="3" eb="5">
      <t>センイ</t>
    </rPh>
    <phoneticPr fontId="2"/>
  </si>
  <si>
    <t>クリック時</t>
    <rPh sb="4" eb="5">
      <t>ジ</t>
    </rPh>
    <phoneticPr fontId="2"/>
  </si>
  <si>
    <t>＜7.1　前提条件＞</t>
    <phoneticPr fontId="2"/>
  </si>
  <si>
    <t>7.1.1</t>
    <phoneticPr fontId="2"/>
  </si>
  <si>
    <t>前ページ遷移リンクをクリックする。</t>
    <rPh sb="0" eb="1">
      <t>マエ</t>
    </rPh>
    <rPh sb="4" eb="6">
      <t>センイ</t>
    </rPh>
    <phoneticPr fontId="2"/>
  </si>
  <si>
    <t>7.1.2</t>
    <phoneticPr fontId="2"/>
  </si>
  <si>
    <t>次ページ遷移リンクをクリックする。</t>
    <rPh sb="0" eb="1">
      <t>ツギ</t>
    </rPh>
    <rPh sb="4" eb="6">
      <t>センイ</t>
    </rPh>
    <phoneticPr fontId="2"/>
  </si>
  <si>
    <t>7.2.1</t>
    <phoneticPr fontId="2"/>
  </si>
  <si>
    <t>7.2.2</t>
    <phoneticPr fontId="2"/>
  </si>
  <si>
    <t>次ページがある場合は、次ページのリンクを設定、</t>
    <rPh sb="0" eb="1">
      <t>ツギ</t>
    </rPh>
    <rPh sb="7" eb="9">
      <t>バアイ</t>
    </rPh>
    <rPh sb="11" eb="12">
      <t>ジ</t>
    </rPh>
    <rPh sb="20" eb="22">
      <t>セッテイ</t>
    </rPh>
    <phoneticPr fontId="2"/>
  </si>
  <si>
    <t>前ページがある場合は、前ページのリンクを設定する。</t>
    <phoneticPr fontId="2"/>
  </si>
  <si>
    <t>ソートリンク</t>
    <phoneticPr fontId="2"/>
  </si>
  <si>
    <t>＜8.1　前提条件＞</t>
    <phoneticPr fontId="2"/>
  </si>
  <si>
    <t>8.1.1</t>
    <phoneticPr fontId="2"/>
  </si>
  <si>
    <t>各ソートリンクをクリックする。</t>
    <rPh sb="0" eb="1">
      <t>カク</t>
    </rPh>
    <phoneticPr fontId="2"/>
  </si>
  <si>
    <t>8.2.1</t>
    <phoneticPr fontId="2"/>
  </si>
  <si>
    <t>表示中の一覧について、ソート順を変更後再表示する。</t>
    <rPh sb="0" eb="3">
      <t>ヒョウジチュウ</t>
    </rPh>
    <rPh sb="4" eb="6">
      <t>イチラン</t>
    </rPh>
    <rPh sb="14" eb="15">
      <t>ジュン</t>
    </rPh>
    <rPh sb="16" eb="18">
      <t>ヘンコウ</t>
    </rPh>
    <rPh sb="18" eb="19">
      <t>アト</t>
    </rPh>
    <rPh sb="19" eb="22">
      <t>サイヒョウジ</t>
    </rPh>
    <phoneticPr fontId="2"/>
  </si>
  <si>
    <t>ソート項目</t>
    <rPh sb="3" eb="5">
      <t>コウモク</t>
    </rPh>
    <phoneticPr fontId="2"/>
  </si>
  <si>
    <t>ソートキーの属性</t>
    <rPh sb="6" eb="8">
      <t>ゾクセイ</t>
    </rPh>
    <phoneticPr fontId="2"/>
  </si>
  <si>
    <t>災害ＩＤ</t>
    <rPh sb="0" eb="2">
      <t>サイガイ</t>
    </rPh>
    <phoneticPr fontId="2"/>
  </si>
  <si>
    <t>数字</t>
    <rPh sb="0" eb="2">
      <t>スウジ</t>
    </rPh>
    <phoneticPr fontId="2"/>
  </si>
  <si>
    <t>災害収束日時</t>
    <rPh sb="0" eb="2">
      <t>サイガイ</t>
    </rPh>
    <rPh sb="2" eb="4">
      <t>シュウソク</t>
    </rPh>
    <rPh sb="4" eb="6">
      <t>ニチジ</t>
    </rPh>
    <phoneticPr fontId="2"/>
  </si>
  <si>
    <t>災害登録画面へボタン</t>
    <rPh sb="0" eb="2">
      <t>サイガイ</t>
    </rPh>
    <rPh sb="2" eb="4">
      <t>トウロク</t>
    </rPh>
    <rPh sb="4" eb="6">
      <t>ガメン</t>
    </rPh>
    <phoneticPr fontId="2"/>
  </si>
  <si>
    <t>災害登録画面へボタンを押下する。</t>
    <rPh sb="4" eb="6">
      <t>ガメン</t>
    </rPh>
    <rPh sb="11" eb="13">
      <t>オウカ</t>
    </rPh>
    <phoneticPr fontId="2"/>
  </si>
  <si>
    <t>災害登録画面に遷移する。</t>
    <rPh sb="0" eb="2">
      <t>サイガイ</t>
    </rPh>
    <rPh sb="2" eb="4">
      <t>トウロク</t>
    </rPh>
    <rPh sb="4" eb="6">
      <t>ガメン</t>
    </rPh>
    <rPh sb="7" eb="9">
      <t>センイ</t>
    </rPh>
    <phoneticPr fontId="2"/>
  </si>
  <si>
    <t>＜7.2　災害一覧更新処理＞</t>
    <rPh sb="5" eb="7">
      <t>サイガイ</t>
    </rPh>
    <rPh sb="7" eb="9">
      <t>イチラン</t>
    </rPh>
    <rPh sb="9" eb="11">
      <t>コウシン</t>
    </rPh>
    <rPh sb="11" eb="13">
      <t>ショリ</t>
    </rPh>
    <phoneticPr fontId="2"/>
  </si>
  <si>
    <t>表示中の災害一覧について、遷移先ページの内容に更新する。</t>
    <rPh sb="0" eb="3">
      <t>ヒョウジチュウ</t>
    </rPh>
    <rPh sb="4" eb="6">
      <t>サイガイ</t>
    </rPh>
    <rPh sb="6" eb="8">
      <t>イチラン</t>
    </rPh>
    <rPh sb="13" eb="15">
      <t>センイ</t>
    </rPh>
    <rPh sb="15" eb="16">
      <t>サキ</t>
    </rPh>
    <rPh sb="20" eb="22">
      <t>ナイヨウ</t>
    </rPh>
    <rPh sb="23" eb="25">
      <t>コウシン</t>
    </rPh>
    <phoneticPr fontId="2"/>
  </si>
  <si>
    <t>＜8.2　災害一覧更新処理＞</t>
    <rPh sb="5" eb="7">
      <t>サイガイ</t>
    </rPh>
    <rPh sb="7" eb="9">
      <t>イチラン</t>
    </rPh>
    <rPh sb="9" eb="11">
      <t>コウシン</t>
    </rPh>
    <rPh sb="11" eb="13">
      <t>ショリ</t>
    </rPh>
    <phoneticPr fontId="2"/>
  </si>
  <si>
    <t>前に戻るボタン</t>
    <rPh sb="0" eb="1">
      <t>マエ</t>
    </rPh>
    <rPh sb="2" eb="3">
      <t>モド</t>
    </rPh>
    <phoneticPr fontId="2"/>
  </si>
  <si>
    <t>＜9.1　前提条件＞</t>
  </si>
  <si>
    <t>9.1.1</t>
  </si>
  <si>
    <t>前に戻るボタンを押す。</t>
    <rPh sb="0" eb="1">
      <t>マエ</t>
    </rPh>
    <rPh sb="2" eb="3">
      <t>モド</t>
    </rPh>
    <rPh sb="8" eb="9">
      <t>オ</t>
    </rPh>
    <phoneticPr fontId="2"/>
  </si>
  <si>
    <t>＜9.2　戻る処理＞</t>
    <rPh sb="5" eb="6">
      <t>モド</t>
    </rPh>
    <rPh sb="7" eb="9">
      <t>ショリ</t>
    </rPh>
    <phoneticPr fontId="2"/>
  </si>
  <si>
    <t>9.2.1</t>
  </si>
  <si>
    <t>前画面に戻る。</t>
    <rPh sb="0" eb="1">
      <t>マエ</t>
    </rPh>
    <rPh sb="1" eb="3">
      <t>ガメン</t>
    </rPh>
    <rPh sb="4" eb="5">
      <t>モド</t>
    </rPh>
    <phoneticPr fontId="2"/>
  </si>
  <si>
    <t>【1】イベント　3/3</t>
    <phoneticPr fontId="2"/>
  </si>
  <si>
    <t>【1】イベント　1/3</t>
    <phoneticPr fontId="2"/>
  </si>
  <si>
    <t>【1】イベント　2/3</t>
    <phoneticPr fontId="2"/>
  </si>
  <si>
    <t>№</t>
    <phoneticPr fontId="2"/>
  </si>
  <si>
    <t>　</t>
    <phoneticPr fontId="2"/>
  </si>
  <si>
    <t>エラーメッセージ</t>
    <phoneticPr fontId="2"/>
  </si>
  <si>
    <t>災害名について、半角 + 全角（機種依存文字『ローマ数字、マルつき数字、</t>
    <rPh sb="0" eb="2">
      <t>サイガイ</t>
    </rPh>
    <rPh sb="2" eb="3">
      <t>メイ</t>
    </rPh>
    <rPh sb="8" eb="10">
      <t>ハンカク</t>
    </rPh>
    <rPh sb="13" eb="15">
      <t>ゼンカク</t>
    </rPh>
    <rPh sb="16" eb="18">
      <t>キシュ</t>
    </rPh>
    <rPh sb="18" eb="20">
      <t>イゾン</t>
    </rPh>
    <rPh sb="20" eb="22">
      <t>モジ</t>
    </rPh>
    <rPh sb="26" eb="28">
      <t>スウジ</t>
    </rPh>
    <rPh sb="33" eb="35">
      <t>スウジ</t>
    </rPh>
    <phoneticPr fontId="2"/>
  </si>
  <si>
    <t>単位、カッコつき文字』を除く）のみ入力していること。</t>
    <phoneticPr fontId="2"/>
  </si>
  <si>
    <t>災害発生日時（開始）が、日時として有効であること。
（※時分未入力の場合、「00時00分」でチェックする）</t>
    <rPh sb="0" eb="2">
      <t>サイガイ</t>
    </rPh>
    <rPh sb="2" eb="4">
      <t>ハッセイ</t>
    </rPh>
    <rPh sb="4" eb="6">
      <t>ニチジ</t>
    </rPh>
    <rPh sb="7" eb="9">
      <t>カイシ</t>
    </rPh>
    <rPh sb="12" eb="14">
      <t>ニチジ</t>
    </rPh>
    <rPh sb="17" eb="19">
      <t>ユウコウ</t>
    </rPh>
    <phoneticPr fontId="2"/>
  </si>
  <si>
    <t>災害発生日時（終了）が、日時として有効であること。
（※時分未入力の場合、「00時00分」でチェックする）</t>
    <rPh sb="0" eb="2">
      <t>サイガイ</t>
    </rPh>
    <rPh sb="2" eb="4">
      <t>ハッセイ</t>
    </rPh>
    <rPh sb="4" eb="6">
      <t>ニチジ</t>
    </rPh>
    <rPh sb="7" eb="9">
      <t>シュウリョウ</t>
    </rPh>
    <rPh sb="12" eb="14">
      <t>ニチジ</t>
    </rPh>
    <rPh sb="17" eb="19">
      <t>ユウコウ</t>
    </rPh>
    <phoneticPr fontId="2"/>
  </si>
  <si>
    <t>災害発生日時（開始） &lt;= 災害発生日時（終了）。
(※時分未入力の場合、「00時00分」でチェックする)</t>
    <rPh sb="0" eb="2">
      <t>サイガイ</t>
    </rPh>
    <rPh sb="2" eb="4">
      <t>ハッセイ</t>
    </rPh>
    <rPh sb="4" eb="6">
      <t>ニチジ</t>
    </rPh>
    <rPh sb="7" eb="9">
      <t>カイシ</t>
    </rPh>
    <rPh sb="14" eb="16">
      <t>サイガイ</t>
    </rPh>
    <rPh sb="16" eb="18">
      <t>ハッセイ</t>
    </rPh>
    <rPh sb="18" eb="20">
      <t>ニチジ</t>
    </rPh>
    <rPh sb="21" eb="23">
      <t>シュウリョウ</t>
    </rPh>
    <rPh sb="28" eb="30">
      <t>ジフン</t>
    </rPh>
    <rPh sb="30" eb="33">
      <t>ミニュウリョク</t>
    </rPh>
    <rPh sb="34" eb="36">
      <t>バアイ</t>
    </rPh>
    <rPh sb="40" eb="41">
      <t>ジ</t>
    </rPh>
    <rPh sb="43" eb="44">
      <t>プン</t>
    </rPh>
    <phoneticPr fontId="2"/>
  </si>
  <si>
    <t>【2】チェック処理　1/1</t>
    <phoneticPr fontId="2"/>
  </si>
  <si>
    <t>災害一覧画面より遷移する。</t>
    <rPh sb="0" eb="2">
      <t>サイガイ</t>
    </rPh>
    <rPh sb="2" eb="4">
      <t>イチラン</t>
    </rPh>
    <rPh sb="4" eb="6">
      <t>ガメン</t>
    </rPh>
    <rPh sb="8" eb="10">
      <t>センイ</t>
    </rPh>
    <phoneticPr fontId="2"/>
  </si>
  <si>
    <t>前画面にて指定された災害ＩＤから、災害情報を抽出する。</t>
    <rPh sb="0" eb="1">
      <t>マエ</t>
    </rPh>
    <rPh sb="1" eb="3">
      <t>ガメン</t>
    </rPh>
    <rPh sb="5" eb="7">
      <t>シテイ</t>
    </rPh>
    <rPh sb="10" eb="12">
      <t>サイガイ</t>
    </rPh>
    <rPh sb="17" eb="19">
      <t>サイガイ</t>
    </rPh>
    <rPh sb="19" eb="21">
      <t>ジョウホウ</t>
    </rPh>
    <rPh sb="22" eb="24">
      <t>チュウシュツ</t>
    </rPh>
    <phoneticPr fontId="2"/>
  </si>
  <si>
    <t>修正ボタン</t>
    <rPh sb="0" eb="2">
      <t>シュウセイ</t>
    </rPh>
    <phoneticPr fontId="2"/>
  </si>
  <si>
    <t>修正ボタンを押下する。</t>
    <rPh sb="0" eb="2">
      <t>シュウセイ</t>
    </rPh>
    <rPh sb="6" eb="8">
      <t>オウカ</t>
    </rPh>
    <phoneticPr fontId="2"/>
  </si>
  <si>
    <t>＜2.2　画面遷移処理＞</t>
    <rPh sb="5" eb="7">
      <t>ガメン</t>
    </rPh>
    <rPh sb="7" eb="9">
      <t>センイ</t>
    </rPh>
    <rPh sb="9" eb="11">
      <t>ショリ</t>
    </rPh>
    <phoneticPr fontId="2"/>
  </si>
  <si>
    <t>削除ボタン</t>
    <rPh sb="0" eb="2">
      <t>サクジョ</t>
    </rPh>
    <phoneticPr fontId="2"/>
  </si>
  <si>
    <t>削除ボタンを押下する。</t>
    <rPh sb="0" eb="2">
      <t>サクジョ</t>
    </rPh>
    <phoneticPr fontId="2"/>
  </si>
  <si>
    <t>＜3.2　削除確定処理＞</t>
    <rPh sb="5" eb="7">
      <t>サクジョ</t>
    </rPh>
    <rPh sb="7" eb="9">
      <t>カクテイ</t>
    </rPh>
    <rPh sb="9" eb="11">
      <t>ショリ</t>
    </rPh>
    <phoneticPr fontId="2"/>
  </si>
  <si>
    <t>3.2.1</t>
    <phoneticPr fontId="2"/>
  </si>
  <si>
    <t>「災害情報を削除します。よろしいですか？」OK・キャンセル</t>
    <phoneticPr fontId="2"/>
  </si>
  <si>
    <t>OK押下： 次の処理（3.2.2）へ進む。</t>
    <rPh sb="2" eb="4">
      <t>オウカ</t>
    </rPh>
    <rPh sb="6" eb="7">
      <t>ツギ</t>
    </rPh>
    <rPh sb="8" eb="10">
      <t>ショリ</t>
    </rPh>
    <rPh sb="18" eb="19">
      <t>スス</t>
    </rPh>
    <phoneticPr fontId="2"/>
  </si>
  <si>
    <t>キャンセル押下： 処理を抜ける。</t>
    <rPh sb="5" eb="7">
      <t>オウカ</t>
    </rPh>
    <rPh sb="9" eb="11">
      <t>ショリ</t>
    </rPh>
    <rPh sb="12" eb="13">
      <t>ヌ</t>
    </rPh>
    <phoneticPr fontId="2"/>
  </si>
  <si>
    <t>3.2.2</t>
    <phoneticPr fontId="2"/>
  </si>
  <si>
    <t>排他チェック</t>
    <rPh sb="0" eb="2">
      <t>ハイタ</t>
    </rPh>
    <phoneticPr fontId="2"/>
  </si>
  <si>
    <t>削除更新処理を行う。</t>
    <rPh sb="0" eb="2">
      <t>サクジョ</t>
    </rPh>
    <rPh sb="2" eb="4">
      <t>コウシン</t>
    </rPh>
    <rPh sb="4" eb="6">
      <t>ショリ</t>
    </rPh>
    <rPh sb="7" eb="8">
      <t>オコナ</t>
    </rPh>
    <phoneticPr fontId="2"/>
  </si>
  <si>
    <t>・ チェック内容は、【２】の排他チェックを参照。</t>
    <rPh sb="6" eb="8">
      <t>ナイヨウ</t>
    </rPh>
    <rPh sb="14" eb="16">
      <t>ハイタ</t>
    </rPh>
    <rPh sb="21" eb="23">
      <t>サンショウ</t>
    </rPh>
    <phoneticPr fontId="2"/>
  </si>
  <si>
    <t>【1】イベント　1/2</t>
    <phoneticPr fontId="2"/>
  </si>
  <si>
    <t>【1】イベント　2/2</t>
    <phoneticPr fontId="2"/>
  </si>
  <si>
    <t>表示中の災害情報が最新であること。</t>
    <rPh sb="0" eb="3">
      <t>ヒョウジチュウ</t>
    </rPh>
    <rPh sb="4" eb="6">
      <t>サイガイ</t>
    </rPh>
    <rPh sb="6" eb="8">
      <t>ジョウホウ</t>
    </rPh>
    <rPh sb="9" eb="11">
      <t>サイシン</t>
    </rPh>
    <phoneticPr fontId="2"/>
  </si>
  <si>
    <t>2.2.4</t>
    <phoneticPr fontId="2"/>
  </si>
  <si>
    <t>・ チェック内容は、【２】の属性チェックを参照。</t>
    <rPh sb="6" eb="8">
      <t>ナイヨウ</t>
    </rPh>
    <rPh sb="14" eb="16">
      <t>ゾクセイ</t>
    </rPh>
    <rPh sb="21" eb="23">
      <t>サンショウ</t>
    </rPh>
    <phoneticPr fontId="2"/>
  </si>
  <si>
    <t>災害登録画面より遷移する。</t>
    <rPh sb="0" eb="2">
      <t>サイガイ</t>
    </rPh>
    <rPh sb="2" eb="4">
      <t>トウロク</t>
    </rPh>
    <rPh sb="4" eb="6">
      <t>ガメン</t>
    </rPh>
    <rPh sb="8" eb="10">
      <t>センイ</t>
    </rPh>
    <phoneticPr fontId="2"/>
  </si>
  <si>
    <t>「災害情報を削除しました。」</t>
    <phoneticPr fontId="2"/>
  </si>
  <si>
    <t>災害一覧画面に遷移する。</t>
    <rPh sb="0" eb="2">
      <t>サイガイ</t>
    </rPh>
    <rPh sb="2" eb="4">
      <t>イチラン</t>
    </rPh>
    <rPh sb="4" eb="6">
      <t>ガメン</t>
    </rPh>
    <rPh sb="7" eb="9">
      <t>センイ</t>
    </rPh>
    <phoneticPr fontId="2"/>
  </si>
  <si>
    <t>―</t>
    <phoneticPr fontId="2"/>
  </si>
  <si>
    <t>初期表示</t>
    <phoneticPr fontId="2"/>
  </si>
  <si>
    <t>＜1.1　前提条件＞</t>
    <phoneticPr fontId="2"/>
  </si>
  <si>
    <t>1.1.1</t>
    <phoneticPr fontId="2"/>
  </si>
  <si>
    <t>災害発生日時欄に（システム日付 + 00時00分）をセットする。</t>
    <rPh sb="0" eb="2">
      <t>サイガイ</t>
    </rPh>
    <rPh sb="2" eb="4">
      <t>ハッセイ</t>
    </rPh>
    <rPh sb="4" eb="6">
      <t>ニチジ</t>
    </rPh>
    <rPh sb="6" eb="7">
      <t>ラン</t>
    </rPh>
    <rPh sb="13" eb="15">
      <t>ヒヅケ</t>
    </rPh>
    <rPh sb="20" eb="21">
      <t>ジ</t>
    </rPh>
    <rPh sb="23" eb="24">
      <t>プン</t>
    </rPh>
    <phoneticPr fontId="2"/>
  </si>
  <si>
    <t>登録ボタン</t>
    <rPh sb="0" eb="2">
      <t>トウロク</t>
    </rPh>
    <phoneticPr fontId="2"/>
  </si>
  <si>
    <t>登録ボタンを押下する。</t>
    <rPh sb="0" eb="2">
      <t>トウロク</t>
    </rPh>
    <rPh sb="6" eb="8">
      <t>オウカ</t>
    </rPh>
    <phoneticPr fontId="2"/>
  </si>
  <si>
    <t>必須入力チェック</t>
    <rPh sb="0" eb="2">
      <t>ヒッス</t>
    </rPh>
    <rPh sb="2" eb="4">
      <t>ニュウリョク</t>
    </rPh>
    <phoneticPr fontId="2"/>
  </si>
  <si>
    <t>入力内容をDBに登録する。</t>
    <rPh sb="0" eb="2">
      <t>ニュウリョク</t>
    </rPh>
    <rPh sb="2" eb="4">
      <t>ナイヨウ</t>
    </rPh>
    <rPh sb="8" eb="10">
      <t>トウロク</t>
    </rPh>
    <phoneticPr fontId="2"/>
  </si>
  <si>
    <t>クリアボタン</t>
    <phoneticPr fontId="2"/>
  </si>
  <si>
    <t>クリアボタンを押下する。</t>
    <phoneticPr fontId="2"/>
  </si>
  <si>
    <t>すべての入力項目を、初期表示時の状態に戻す。</t>
    <rPh sb="4" eb="6">
      <t>ニュウリョク</t>
    </rPh>
    <rPh sb="6" eb="8">
      <t>コウモク</t>
    </rPh>
    <rPh sb="10" eb="12">
      <t>ショキ</t>
    </rPh>
    <rPh sb="12" eb="14">
      <t>ヒョウジ</t>
    </rPh>
    <rPh sb="14" eb="15">
      <t>ジ</t>
    </rPh>
    <rPh sb="16" eb="18">
      <t>ジョウタイ</t>
    </rPh>
    <rPh sb="19" eb="20">
      <t>モド</t>
    </rPh>
    <phoneticPr fontId="2"/>
  </si>
  <si>
    <t>災害名について、半角 + 全角（機種依存文字『ローマ数字、マルつき数字、単位、カッコつき文字』を除く）のみ入力していること。</t>
    <rPh sb="0" eb="2">
      <t>サイガイ</t>
    </rPh>
    <rPh sb="2" eb="3">
      <t>メイ</t>
    </rPh>
    <rPh sb="8" eb="10">
      <t>ハンカク</t>
    </rPh>
    <rPh sb="13" eb="15">
      <t>ゼンカク</t>
    </rPh>
    <rPh sb="16" eb="18">
      <t>キシュ</t>
    </rPh>
    <rPh sb="18" eb="20">
      <t>イゾン</t>
    </rPh>
    <rPh sb="20" eb="22">
      <t>モジ</t>
    </rPh>
    <rPh sb="26" eb="28">
      <t>スウジ</t>
    </rPh>
    <rPh sb="33" eb="35">
      <t>スウジ</t>
    </rPh>
    <rPh sb="36" eb="38">
      <t>タンイ</t>
    </rPh>
    <rPh sb="44" eb="46">
      <t>モジ</t>
    </rPh>
    <rPh sb="48" eb="49">
      <t>ノゾ</t>
    </rPh>
    <rPh sb="53" eb="55">
      <t>ニュウリョク</t>
    </rPh>
    <phoneticPr fontId="2"/>
  </si>
  <si>
    <t>災害発生日時が日時として有効であること。
（※時分未入力の場合、「00時00分」でチェックする）</t>
    <rPh sb="0" eb="2">
      <t>サイガイ</t>
    </rPh>
    <rPh sb="2" eb="4">
      <t>ハッセイ</t>
    </rPh>
    <rPh sb="4" eb="6">
      <t>ニチジ</t>
    </rPh>
    <rPh sb="7" eb="9">
      <t>ニチジ</t>
    </rPh>
    <rPh sb="12" eb="14">
      <t>ユウコウ</t>
    </rPh>
    <phoneticPr fontId="2"/>
  </si>
  <si>
    <t>災害収束日時が日時として有効であること。
（※時分未入力の場合、「00時00分」でチェックする）</t>
    <rPh sb="0" eb="2">
      <t>サイガイ</t>
    </rPh>
    <rPh sb="2" eb="4">
      <t>シュウソク</t>
    </rPh>
    <rPh sb="4" eb="6">
      <t>ニチジ</t>
    </rPh>
    <rPh sb="7" eb="9">
      <t>ニチジ</t>
    </rPh>
    <rPh sb="12" eb="14">
      <t>ユウコウ</t>
    </rPh>
    <phoneticPr fontId="2"/>
  </si>
  <si>
    <t>災害発生日時 &lt;= 災害収束日時。
(※時分未入力の場合、「00時00分」でチェックする)</t>
    <rPh sb="0" eb="2">
      <t>サイガイ</t>
    </rPh>
    <rPh sb="2" eb="4">
      <t>ハッセイ</t>
    </rPh>
    <rPh sb="4" eb="6">
      <t>ニチジ</t>
    </rPh>
    <rPh sb="10" eb="12">
      <t>サイガイ</t>
    </rPh>
    <rPh sb="12" eb="14">
      <t>シュウソク</t>
    </rPh>
    <rPh sb="14" eb="16">
      <t>ニチジ</t>
    </rPh>
    <rPh sb="20" eb="22">
      <t>ジフン</t>
    </rPh>
    <rPh sb="22" eb="25">
      <t>ミニュウリョク</t>
    </rPh>
    <rPh sb="26" eb="28">
      <t>バアイ</t>
    </rPh>
    <rPh sb="32" eb="33">
      <t>ジ</t>
    </rPh>
    <rPh sb="35" eb="36">
      <t>プン</t>
    </rPh>
    <phoneticPr fontId="2"/>
  </si>
  <si>
    <t>同じ災害名を持つ未削除の災害名情報が存在しないこと。</t>
    <rPh sb="0" eb="1">
      <t>オナ</t>
    </rPh>
    <rPh sb="2" eb="4">
      <t>サイガイ</t>
    </rPh>
    <rPh sb="4" eb="5">
      <t>メイ</t>
    </rPh>
    <rPh sb="6" eb="7">
      <t>モ</t>
    </rPh>
    <rPh sb="8" eb="9">
      <t>ミ</t>
    </rPh>
    <rPh sb="9" eb="11">
      <t>サクジョ</t>
    </rPh>
    <rPh sb="12" eb="14">
      <t>サイガイ</t>
    </rPh>
    <rPh sb="14" eb="15">
      <t>メイ</t>
    </rPh>
    <rPh sb="15" eb="17">
      <t>ジョウホウ</t>
    </rPh>
    <rPh sb="18" eb="20">
      <t>ソンザイ</t>
    </rPh>
    <phoneticPr fontId="2"/>
  </si>
  <si>
    <t>「災害情報を登録します。よろしいですか？」OK・キャンセル</t>
    <rPh sb="1" eb="3">
      <t>サイガイ</t>
    </rPh>
    <rPh sb="3" eb="5">
      <t>ジョウホウ</t>
    </rPh>
    <rPh sb="6" eb="8">
      <t>トウロク</t>
    </rPh>
    <phoneticPr fontId="2"/>
  </si>
  <si>
    <t>・ チェック内容は、【２】の必須入力チェックを参照。</t>
    <rPh sb="6" eb="8">
      <t>ナイヨウ</t>
    </rPh>
    <rPh sb="14" eb="16">
      <t>ヒッス</t>
    </rPh>
    <rPh sb="16" eb="18">
      <t>ニュウリョク</t>
    </rPh>
    <rPh sb="23" eb="25">
      <t>サンショウ</t>
    </rPh>
    <phoneticPr fontId="2"/>
  </si>
  <si>
    <t>災害詳細画面に遷移する。</t>
    <rPh sb="0" eb="2">
      <t>サイガイ</t>
    </rPh>
    <rPh sb="2" eb="4">
      <t>ショウサイ</t>
    </rPh>
    <rPh sb="4" eb="6">
      <t>ガメン</t>
    </rPh>
    <rPh sb="7" eb="9">
      <t>センイ</t>
    </rPh>
    <phoneticPr fontId="2"/>
  </si>
  <si>
    <t>「以下の内容で登録しました。」</t>
    <phoneticPr fontId="2"/>
  </si>
  <si>
    <t>＜4.2　戻る処理＞</t>
    <rPh sb="5" eb="6">
      <t>モド</t>
    </rPh>
    <rPh sb="7" eb="9">
      <t>ショリ</t>
    </rPh>
    <phoneticPr fontId="2"/>
  </si>
  <si>
    <t>キャンセル押下：処理を抜ける。</t>
    <rPh sb="5" eb="7">
      <t>オウカ</t>
    </rPh>
    <rPh sb="8" eb="10">
      <t>ショリ</t>
    </rPh>
    <rPh sb="11" eb="12">
      <t>ヌ</t>
    </rPh>
    <phoneticPr fontId="2"/>
  </si>
  <si>
    <t>「災害情報を修正します。よろしいですか？」OK・キャンセル</t>
    <rPh sb="1" eb="3">
      <t>サイガイ</t>
    </rPh>
    <rPh sb="3" eb="5">
      <t>ジョウホウ</t>
    </rPh>
    <rPh sb="6" eb="8">
      <t>シュウセイ</t>
    </rPh>
    <phoneticPr fontId="2"/>
  </si>
  <si>
    <t>DBに存在する表示中の災害情報に対し、入力内容を上書きする。</t>
    <rPh sb="3" eb="5">
      <t>ソンザイ</t>
    </rPh>
    <rPh sb="16" eb="17">
      <t>タイ</t>
    </rPh>
    <rPh sb="19" eb="21">
      <t>ニュウリョク</t>
    </rPh>
    <rPh sb="21" eb="23">
      <t>ナイヨウ</t>
    </rPh>
    <rPh sb="24" eb="26">
      <t>ウワガ</t>
    </rPh>
    <phoneticPr fontId="2"/>
  </si>
  <si>
    <t>「入力情報をクリアします。よろしいですか？」OK・キャンセル</t>
    <rPh sb="1" eb="3">
      <t>ニュウリョク</t>
    </rPh>
    <phoneticPr fontId="2"/>
  </si>
  <si>
    <t>指定した表示件数をもとに、表示中の災害一覧を再表示する。</t>
    <rPh sb="17" eb="19">
      <t>サイガイ</t>
    </rPh>
    <phoneticPr fontId="2"/>
  </si>
  <si>
    <t>年月日時分</t>
    <phoneticPr fontId="2"/>
  </si>
  <si>
    <t>災害修正画面より遷移する。</t>
    <rPh sb="0" eb="2">
      <t>サイガイ</t>
    </rPh>
    <rPh sb="2" eb="4">
      <t>シュウセイ</t>
    </rPh>
    <rPh sb="4" eb="6">
      <t>ガメン</t>
    </rPh>
    <rPh sb="8" eb="10">
      <t>センイ</t>
    </rPh>
    <phoneticPr fontId="2"/>
  </si>
  <si>
    <t>2.2.5</t>
    <phoneticPr fontId="2"/>
  </si>
  <si>
    <t>2.2.6</t>
    <phoneticPr fontId="2"/>
  </si>
  <si>
    <t>1.2.1</t>
    <phoneticPr fontId="2"/>
  </si>
  <si>
    <t>画面入力項目を初期化する。</t>
    <rPh sb="0" eb="2">
      <t>ガメン</t>
    </rPh>
    <rPh sb="2" eb="4">
      <t>ニュウリョク</t>
    </rPh>
    <rPh sb="4" eb="6">
      <t>コウモク</t>
    </rPh>
    <rPh sb="7" eb="10">
      <t>ショキカ</t>
    </rPh>
    <phoneticPr fontId="2"/>
  </si>
  <si>
    <t>1.2.2</t>
    <phoneticPr fontId="2"/>
  </si>
  <si>
    <t>＜6.2　災害一覧更新処理＞</t>
    <rPh sb="5" eb="7">
      <t>サイガイ</t>
    </rPh>
    <rPh sb="7" eb="9">
      <t>イチラン</t>
    </rPh>
    <rPh sb="9" eb="11">
      <t>コウシン</t>
    </rPh>
    <rPh sb="11" eb="13">
      <t>ショリ</t>
    </rPh>
    <phoneticPr fontId="2"/>
  </si>
  <si>
    <t>属性チェック
（全半角）</t>
    <rPh sb="0" eb="2">
      <t>ゾクセイ</t>
    </rPh>
    <rPh sb="8" eb="9">
      <t>ゼン</t>
    </rPh>
    <rPh sb="9" eb="11">
      <t>ハンカク</t>
    </rPh>
    <phoneticPr fontId="2"/>
  </si>
  <si>
    <t>1.2.1</t>
    <phoneticPr fontId="2"/>
  </si>
  <si>
    <t>1.2.2</t>
    <phoneticPr fontId="2"/>
  </si>
  <si>
    <t>抽出した災害一覧を、災害一覧エリアに表示する。</t>
    <rPh sb="0" eb="2">
      <t>チュウシュツ</t>
    </rPh>
    <rPh sb="4" eb="6">
      <t>サイガイ</t>
    </rPh>
    <rPh sb="6" eb="8">
      <t>イチラン</t>
    </rPh>
    <rPh sb="10" eb="12">
      <t>サイガイ</t>
    </rPh>
    <rPh sb="12" eb="14">
      <t>イチラン</t>
    </rPh>
    <rPh sb="18" eb="20">
      <t>ヒョウジ</t>
    </rPh>
    <phoneticPr fontId="2"/>
  </si>
  <si>
    <t>一意チェック</t>
    <rPh sb="0" eb="2">
      <t>イチイ</t>
    </rPh>
    <phoneticPr fontId="2"/>
  </si>
  <si>
    <t>・ チェック内容は、【２】の一意チェックを参照。</t>
    <rPh sb="6" eb="8">
      <t>ナイヨウ</t>
    </rPh>
    <rPh sb="14" eb="16">
      <t>イチイ</t>
    </rPh>
    <rPh sb="21" eb="23">
      <t>サンショウ</t>
    </rPh>
    <phoneticPr fontId="2"/>
  </si>
  <si>
    <t>1.1.3</t>
    <phoneticPr fontId="2"/>
  </si>
  <si>
    <t>排他チェック</t>
    <phoneticPr fontId="2"/>
  </si>
  <si>
    <t>表示中の災害情報が最新であること</t>
    <phoneticPr fontId="2"/>
  </si>
  <si>
    <t>有効年月日時分チェック</t>
    <phoneticPr fontId="2"/>
  </si>
  <si>
    <t>EA0009</t>
    <phoneticPr fontId="2"/>
  </si>
  <si>
    <t>年月日時分逆転チェック</t>
    <phoneticPr fontId="2"/>
  </si>
  <si>
    <t>EA0015</t>
    <phoneticPr fontId="2"/>
  </si>
  <si>
    <t>EA0007</t>
    <phoneticPr fontId="2"/>
  </si>
  <si>
    <t>・ チェック内容は、【２】の有効年月日時分チェックを参照。</t>
    <rPh sb="6" eb="8">
      <t>ナイヨウ</t>
    </rPh>
    <rPh sb="14" eb="16">
      <t>ユウコウ</t>
    </rPh>
    <rPh sb="16" eb="19">
      <t>ネンガッピ</t>
    </rPh>
    <rPh sb="19" eb="21">
      <t>ジブン</t>
    </rPh>
    <rPh sb="26" eb="28">
      <t>サンショウ</t>
    </rPh>
    <phoneticPr fontId="2"/>
  </si>
  <si>
    <t>・ チェック内容は、【２】の年月日時分逆転チェックを参照。</t>
    <rPh sb="6" eb="8">
      <t>ナイヨウ</t>
    </rPh>
    <rPh sb="14" eb="17">
      <t>ネンガッピ</t>
    </rPh>
    <rPh sb="17" eb="19">
      <t>ジブン</t>
    </rPh>
    <rPh sb="19" eb="21">
      <t>ギャクテン</t>
    </rPh>
    <rPh sb="26" eb="28">
      <t>サンショウ</t>
    </rPh>
    <phoneticPr fontId="2"/>
  </si>
  <si>
    <t>確認ダイアログを表示する。（NI0001）</t>
    <rPh sb="0" eb="2">
      <t>カクニン</t>
    </rPh>
    <rPh sb="8" eb="10">
      <t>ヒョウジ</t>
    </rPh>
    <phoneticPr fontId="2"/>
  </si>
  <si>
    <t>完了を災害詳細画面のメッセージエリアに表示する。（NA0002)</t>
    <rPh sb="0" eb="2">
      <t>カンリョウ</t>
    </rPh>
    <rPh sb="5" eb="7">
      <t>ショウサイ</t>
    </rPh>
    <rPh sb="19" eb="21">
      <t>ヒョウジ</t>
    </rPh>
    <phoneticPr fontId="2"/>
  </si>
  <si>
    <t>確認ダイアログを表示する。（NA0001）</t>
    <rPh sb="0" eb="2">
      <t>カクニン</t>
    </rPh>
    <rPh sb="8" eb="10">
      <t>ヒョウジ</t>
    </rPh>
    <phoneticPr fontId="2"/>
  </si>
  <si>
    <t>EA0001</t>
    <phoneticPr fontId="2"/>
  </si>
  <si>
    <t>EA0014</t>
    <phoneticPr fontId="2"/>
  </si>
  <si>
    <t>年月日時分逆転チェック</t>
    <rPh sb="0" eb="3">
      <t>ネンガッピ</t>
    </rPh>
    <rPh sb="3" eb="5">
      <t>ジブン</t>
    </rPh>
    <rPh sb="5" eb="7">
      <t>ギャクテン</t>
    </rPh>
    <phoneticPr fontId="2"/>
  </si>
  <si>
    <t>被災状況情報有無チェック</t>
  </si>
  <si>
    <t>被災状況情報有無チェック</t>
    <rPh sb="0" eb="2">
      <t>ヒサイ</t>
    </rPh>
    <rPh sb="2" eb="4">
      <t>ジョウキョウ</t>
    </rPh>
    <rPh sb="4" eb="6">
      <t>ジョウホウ</t>
    </rPh>
    <rPh sb="6" eb="8">
      <t>ウム</t>
    </rPh>
    <phoneticPr fontId="2"/>
  </si>
  <si>
    <t>EI0001</t>
    <phoneticPr fontId="2"/>
  </si>
  <si>
    <t>・ チェック内容は、【２】の被災状況情報有無チェックを参照。</t>
    <rPh sb="6" eb="8">
      <t>ナイヨウ</t>
    </rPh>
    <rPh sb="14" eb="16">
      <t>ヒサイ</t>
    </rPh>
    <rPh sb="16" eb="18">
      <t>ジョウキョウ</t>
    </rPh>
    <rPh sb="18" eb="20">
      <t>ジョウホウ</t>
    </rPh>
    <rPh sb="20" eb="22">
      <t>ウム</t>
    </rPh>
    <rPh sb="27" eb="29">
      <t>サンショウ</t>
    </rPh>
    <phoneticPr fontId="2"/>
  </si>
  <si>
    <t>確認ダイアログを表示する。（NI0003）</t>
    <rPh sb="0" eb="2">
      <t>カクニン</t>
    </rPh>
    <rPh sb="8" eb="10">
      <t>ヒョウジ</t>
    </rPh>
    <phoneticPr fontId="2"/>
  </si>
  <si>
    <t>完了を災害一覧画面のメッセージエリアに表示する。（NI0004）</t>
    <rPh sb="0" eb="2">
      <t>カンリョウ</t>
    </rPh>
    <rPh sb="19" eb="21">
      <t>ヒョウジ</t>
    </rPh>
    <phoneticPr fontId="2"/>
  </si>
  <si>
    <t>EA0013</t>
    <phoneticPr fontId="2"/>
  </si>
  <si>
    <t>修正確認ダイアログを表示する。（NI0002）</t>
    <rPh sb="0" eb="2">
      <t>シュウセイ</t>
    </rPh>
    <rPh sb="2" eb="4">
      <t>カクニン</t>
    </rPh>
    <rPh sb="10" eb="12">
      <t>ヒョウジ</t>
    </rPh>
    <phoneticPr fontId="2"/>
  </si>
  <si>
    <t>上記条件を満たさない。</t>
    <phoneticPr fontId="2"/>
  </si>
  <si>
    <t>メッセージエリアを初期化する。</t>
    <rPh sb="8" eb="10">
      <t>ショキ</t>
    </rPh>
    <rPh sb="9" eb="12">
      <t>ショキカ</t>
    </rPh>
    <phoneticPr fontId="2"/>
  </si>
  <si>
    <t>メッセージエリア</t>
  </si>
  <si>
    <t>災害一覧画面のメッセージエリア</t>
  </si>
  <si>
    <t>災害一覧画面のメッセージエリア</t>
    <rPh sb="0" eb="2">
      <t>サイガイ</t>
    </rPh>
    <rPh sb="2" eb="4">
      <t>イチラン</t>
    </rPh>
    <rPh sb="4" eb="6">
      <t>ガメン</t>
    </rPh>
    <phoneticPr fontId="2"/>
  </si>
  <si>
    <t>※１　エラーメッセージについては、「メッセージ一覧」を参照のこと。</t>
    <rPh sb="23" eb="25">
      <t>イチラン</t>
    </rPh>
    <phoneticPr fontId="2"/>
  </si>
  <si>
    <t>※２　エラーメッセージの表示場所については、「標準化設計」を参照のこと。</t>
    <rPh sb="23" eb="26">
      <t>ヒョウジュンカ</t>
    </rPh>
    <rPh sb="26" eb="28">
      <t>セッケイ</t>
    </rPh>
    <phoneticPr fontId="2"/>
  </si>
  <si>
    <t>Ｖｅｒ.</t>
    <phoneticPr fontId="2"/>
  </si>
  <si>
    <t>1.0</t>
    <phoneticPr fontId="2"/>
  </si>
  <si>
    <t xml:space="preserve"> </t>
    <phoneticPr fontId="2"/>
  </si>
  <si>
    <t>ＩＤ</t>
    <phoneticPr fontId="2"/>
  </si>
  <si>
    <t>Ｖｅｒ.</t>
    <phoneticPr fontId="2"/>
  </si>
  <si>
    <t>1.0</t>
    <phoneticPr fontId="2"/>
  </si>
  <si>
    <t xml:space="preserve"> </t>
    <phoneticPr fontId="2"/>
  </si>
  <si>
    <t>ＩＤ</t>
    <phoneticPr fontId="2"/>
  </si>
  <si>
    <t>Ｖｅｒ.</t>
    <phoneticPr fontId="2"/>
  </si>
  <si>
    <t>1.0</t>
    <phoneticPr fontId="2"/>
  </si>
  <si>
    <t xml:space="preserve"> </t>
    <phoneticPr fontId="2"/>
  </si>
  <si>
    <t>ＩＤ</t>
    <phoneticPr fontId="2"/>
  </si>
  <si>
    <t>Ｖｅｒ.</t>
    <phoneticPr fontId="2"/>
  </si>
  <si>
    <t>1.0</t>
    <phoneticPr fontId="2"/>
  </si>
  <si>
    <t xml:space="preserve"> </t>
    <phoneticPr fontId="2"/>
  </si>
  <si>
    <t>ＩＤ</t>
    <phoneticPr fontId="2"/>
  </si>
  <si>
    <t>Ｖｅｒ.</t>
    <phoneticPr fontId="2"/>
  </si>
  <si>
    <t>1.0</t>
    <phoneticPr fontId="2"/>
  </si>
  <si>
    <t>2016/1/29</t>
    <phoneticPr fontId="2"/>
  </si>
  <si>
    <t>　</t>
    <phoneticPr fontId="2"/>
  </si>
  <si>
    <t>・ 以下のソート項目で並び替えした後に初期表示する。</t>
    <rPh sb="2" eb="4">
      <t>イカ</t>
    </rPh>
    <phoneticPr fontId="2"/>
  </si>
  <si>
    <t>ソート順</t>
    <rPh sb="3" eb="4">
      <t>ジュン</t>
    </rPh>
    <phoneticPr fontId="2"/>
  </si>
  <si>
    <t>・ 前ページのリンクは、テキストの表示のみとする。</t>
    <phoneticPr fontId="2"/>
  </si>
  <si>
    <t>降順</t>
    <rPh sb="0" eb="2">
      <t>コウジュン</t>
    </rPh>
    <phoneticPr fontId="2"/>
  </si>
  <si>
    <t>・ 検索項目で未入力を指定した項目は、該当項目について全件検索とする。</t>
  </si>
  <si>
    <t>検索項目</t>
  </si>
  <si>
    <t>検索条件</t>
    <rPh sb="2" eb="4">
      <t>ジョウケン</t>
    </rPh>
    <phoneticPr fontId="2"/>
  </si>
  <si>
    <t>2.2.7</t>
    <phoneticPr fontId="2"/>
  </si>
  <si>
    <t>3.2.2</t>
    <phoneticPr fontId="2"/>
  </si>
  <si>
    <t>一覧行選択リンク</t>
    <phoneticPr fontId="2"/>
  </si>
  <si>
    <t>災害一覧の行にカーソルを合わせ、行をクリックする。</t>
    <rPh sb="0" eb="2">
      <t>サイガイ</t>
    </rPh>
    <phoneticPr fontId="2"/>
  </si>
  <si>
    <t>指定された行の災害情報の災害詳細画面へ遷移する。</t>
    <rPh sb="0" eb="2">
      <t>シテイ</t>
    </rPh>
    <rPh sb="5" eb="6">
      <t>ギョウ</t>
    </rPh>
    <rPh sb="7" eb="9">
      <t>サイガイ</t>
    </rPh>
    <rPh sb="9" eb="11">
      <t>ジョウホウ</t>
    </rPh>
    <rPh sb="12" eb="14">
      <t>サイガイ</t>
    </rPh>
    <rPh sb="14" eb="16">
      <t>ショウサイ</t>
    </rPh>
    <rPh sb="16" eb="18">
      <t>ガメン</t>
    </rPh>
    <rPh sb="19" eb="21">
      <t>センイ</t>
    </rPh>
    <phoneticPr fontId="2"/>
  </si>
  <si>
    <t>＜2.1　前提条件＞</t>
    <phoneticPr fontId="2"/>
  </si>
  <si>
    <t>2.1.1</t>
    <phoneticPr fontId="2"/>
  </si>
  <si>
    <t>＜2.2　クリア処理＞</t>
    <rPh sb="8" eb="10">
      <t>ショリ</t>
    </rPh>
    <phoneticPr fontId="2"/>
  </si>
  <si>
    <t>2.2.1</t>
    <phoneticPr fontId="2"/>
  </si>
  <si>
    <t>OK押下：次の処理（2.2.2）へ進む。</t>
    <rPh sb="2" eb="4">
      <t>オウカ</t>
    </rPh>
    <rPh sb="5" eb="6">
      <t>ツギ</t>
    </rPh>
    <rPh sb="7" eb="9">
      <t>ショリ</t>
    </rPh>
    <rPh sb="17" eb="18">
      <t>スス</t>
    </rPh>
    <phoneticPr fontId="2"/>
  </si>
  <si>
    <t>2.2.2</t>
    <phoneticPr fontId="2"/>
  </si>
  <si>
    <t>2.2.3</t>
    <phoneticPr fontId="2"/>
  </si>
  <si>
    <t>＜3.1　前提条件＞</t>
    <phoneticPr fontId="2"/>
  </si>
  <si>
    <t>3.1.1</t>
    <phoneticPr fontId="2"/>
  </si>
  <si>
    <t>＜3.2　登録確定処理＞</t>
    <rPh sb="5" eb="7">
      <t>トウロク</t>
    </rPh>
    <rPh sb="7" eb="9">
      <t>カクテイ</t>
    </rPh>
    <rPh sb="9" eb="11">
      <t>ショリ</t>
    </rPh>
    <phoneticPr fontId="2"/>
  </si>
  <si>
    <t>3.2.1</t>
    <phoneticPr fontId="2"/>
  </si>
  <si>
    <t>3.2.2</t>
    <phoneticPr fontId="2"/>
  </si>
  <si>
    <t>3.2.3</t>
    <phoneticPr fontId="2"/>
  </si>
  <si>
    <t>3.2.4</t>
    <phoneticPr fontId="2"/>
  </si>
  <si>
    <t>3.2.5</t>
    <phoneticPr fontId="2"/>
  </si>
  <si>
    <t>3.2.6</t>
    <phoneticPr fontId="2"/>
  </si>
  <si>
    <t>3.2.7</t>
    <phoneticPr fontId="2"/>
  </si>
  <si>
    <t>3.2.8</t>
    <phoneticPr fontId="2"/>
  </si>
  <si>
    <t>3.2.9</t>
    <phoneticPr fontId="2"/>
  </si>
  <si>
    <t>同じ災害名を持つ未削除の災害情報が存在しないこと。</t>
    <rPh sb="0" eb="1">
      <t>オナ</t>
    </rPh>
    <rPh sb="2" eb="4">
      <t>サイガイ</t>
    </rPh>
    <rPh sb="4" eb="5">
      <t>メイ</t>
    </rPh>
    <rPh sb="6" eb="7">
      <t>モ</t>
    </rPh>
    <rPh sb="8" eb="9">
      <t>ミ</t>
    </rPh>
    <rPh sb="9" eb="11">
      <t>サクジョ</t>
    </rPh>
    <rPh sb="12" eb="14">
      <t>サイガイ</t>
    </rPh>
    <rPh sb="14" eb="16">
      <t>ジョウホウ</t>
    </rPh>
    <rPh sb="17" eb="19">
      <t>ソンザイ</t>
    </rPh>
    <phoneticPr fontId="2"/>
  </si>
  <si>
    <t>フリーワード情報有無チェック</t>
    <phoneticPr fontId="2"/>
  </si>
  <si>
    <t>・ チェック内容は、【２】のフリーワード情報有無チェックを参照。</t>
    <rPh sb="6" eb="8">
      <t>ナイヨウ</t>
    </rPh>
    <rPh sb="20" eb="22">
      <t>ジョウホウ</t>
    </rPh>
    <rPh sb="22" eb="24">
      <t>ウム</t>
    </rPh>
    <rPh sb="29" eb="31">
      <t>サンショウ</t>
    </rPh>
    <phoneticPr fontId="2"/>
  </si>
  <si>
    <t>フリーワード情報有無チェック</t>
    <rPh sb="6" eb="8">
      <t>ジョウホウ</t>
    </rPh>
    <rPh sb="8" eb="10">
      <t>ウム</t>
    </rPh>
    <phoneticPr fontId="2"/>
  </si>
  <si>
    <t>同じ災害IDを持つ未削除のフリーワード情報が存在しないこと。</t>
    <rPh sb="0" eb="1">
      <t>オナ</t>
    </rPh>
    <rPh sb="2" eb="4">
      <t>サイガイ</t>
    </rPh>
    <rPh sb="7" eb="8">
      <t>モ</t>
    </rPh>
    <rPh sb="9" eb="10">
      <t>ミ</t>
    </rPh>
    <rPh sb="10" eb="12">
      <t>サクジョ</t>
    </rPh>
    <rPh sb="19" eb="21">
      <t>ジョウホウ</t>
    </rPh>
    <rPh sb="22" eb="24">
      <t>ソンザイ</t>
    </rPh>
    <phoneticPr fontId="2"/>
  </si>
  <si>
    <t>EI0003</t>
    <phoneticPr fontId="2"/>
  </si>
  <si>
    <t>＜3　登録確定処理＞</t>
    <rPh sb="3" eb="5">
      <t>トウロク</t>
    </rPh>
    <rPh sb="5" eb="7">
      <t>カクテイ</t>
    </rPh>
    <rPh sb="7" eb="9">
      <t>ショリ</t>
    </rPh>
    <phoneticPr fontId="2"/>
  </si>
  <si>
    <t>3.2.10</t>
    <phoneticPr fontId="2"/>
  </si>
  <si>
    <t>【2】チェック処理　1/1</t>
    <phoneticPr fontId="2"/>
  </si>
  <si>
    <t>1.2.3</t>
    <phoneticPr fontId="2"/>
  </si>
  <si>
    <t>ヘッダーバーを初期化する。</t>
    <rPh sb="7" eb="9">
      <t>ショキ</t>
    </rPh>
    <rPh sb="9" eb="10">
      <t>カ</t>
    </rPh>
    <phoneticPr fontId="2"/>
  </si>
  <si>
    <t>1.2.4</t>
    <phoneticPr fontId="2"/>
  </si>
  <si>
    <t>1.2.5</t>
    <phoneticPr fontId="2"/>
  </si>
  <si>
    <t>1.2.6</t>
    <phoneticPr fontId="2"/>
  </si>
  <si>
    <t>1.2.7</t>
    <phoneticPr fontId="2"/>
  </si>
  <si>
    <t>1.2.3</t>
    <phoneticPr fontId="2"/>
  </si>
  <si>
    <t>※３　必須項目</t>
    <rPh sb="3" eb="5">
      <t>ヒッス</t>
    </rPh>
    <rPh sb="5" eb="7">
      <t>コウモク</t>
    </rPh>
    <phoneticPr fontId="2"/>
  </si>
  <si>
    <t>トリガー</t>
    <phoneticPr fontId="2"/>
  </si>
  <si>
    <t>（登録ボタン押下）</t>
    <rPh sb="1" eb="3">
      <t>トウロク</t>
    </rPh>
    <rPh sb="6" eb="7">
      <t>オ</t>
    </rPh>
    <rPh sb="7" eb="8">
      <t>シタ</t>
    </rPh>
    <phoneticPr fontId="2"/>
  </si>
  <si>
    <t>災害名</t>
    <phoneticPr fontId="2"/>
  </si>
  <si>
    <t>必須項目（※３）が入力されていること。</t>
    <phoneticPr fontId="2"/>
  </si>
  <si>
    <t>1.2.1</t>
    <phoneticPr fontId="2"/>
  </si>
  <si>
    <t>1.2.2</t>
    <phoneticPr fontId="2"/>
  </si>
  <si>
    <t>必須項目（※３）が入力されていること。</t>
    <rPh sb="0" eb="2">
      <t>ヒッス</t>
    </rPh>
    <rPh sb="2" eb="4">
      <t>コウモク</t>
    </rPh>
    <rPh sb="9" eb="11">
      <t>ニュウリョク</t>
    </rPh>
    <phoneticPr fontId="2"/>
  </si>
  <si>
    <t>・ ログイン中ユーザのユーザ名と組織名１をDBから取得する。</t>
    <rPh sb="6" eb="7">
      <t>チュウ</t>
    </rPh>
    <rPh sb="14" eb="15">
      <t>メイ</t>
    </rPh>
    <rPh sb="16" eb="19">
      <t>ソシキメイ</t>
    </rPh>
    <rPh sb="25" eb="27">
      <t>シュトク</t>
    </rPh>
    <phoneticPr fontId="2"/>
  </si>
  <si>
    <t>・ ユーザ名をヘッダー文言①に、組織名１をヘッダー文言②に表示する。</t>
    <rPh sb="5" eb="6">
      <t>メイ</t>
    </rPh>
    <rPh sb="11" eb="13">
      <t>モンゴン</t>
    </rPh>
    <phoneticPr fontId="2"/>
  </si>
  <si>
    <t>災害発生日時が指定期間内のデータを検索。</t>
    <rPh sb="0" eb="2">
      <t>サイガイ</t>
    </rPh>
    <rPh sb="2" eb="4">
      <t>ハッセイ</t>
    </rPh>
    <rPh sb="4" eb="6">
      <t>ニチジ</t>
    </rPh>
    <rPh sb="7" eb="9">
      <t>シテイ</t>
    </rPh>
    <rPh sb="9" eb="11">
      <t>キカン</t>
    </rPh>
    <rPh sb="11" eb="12">
      <t>ナイ</t>
    </rPh>
    <rPh sb="17" eb="19">
      <t>ケンサク</t>
    </rPh>
    <phoneticPr fontId="2"/>
  </si>
  <si>
    <t>・ 検索項目が未入力の項目は、該当項目について全件検索とする。</t>
  </si>
  <si>
    <t>検索エリアの初期値の条件で、未削除の災害一覧を全て抽出する。</t>
    <rPh sb="14" eb="15">
      <t>ミ</t>
    </rPh>
    <rPh sb="15" eb="17">
      <t>サクジョ</t>
    </rPh>
    <rPh sb="20" eb="22">
      <t>イチラン</t>
    </rPh>
    <rPh sb="23" eb="24">
      <t>スベ</t>
    </rPh>
    <rPh sb="25" eb="27">
      <t>チュウシュツ</t>
    </rPh>
    <phoneticPr fontId="2"/>
  </si>
  <si>
    <t>抽出した災害一覧の件数を、ヘッダー文言③に表示する。</t>
    <rPh sb="0" eb="2">
      <t>チュウシュツ</t>
    </rPh>
    <rPh sb="4" eb="6">
      <t>サイガイ</t>
    </rPh>
    <rPh sb="6" eb="8">
      <t>イチラン</t>
    </rPh>
    <rPh sb="9" eb="11">
      <t>ケンスウ</t>
    </rPh>
    <rPh sb="17" eb="19">
      <t>ブンゲン</t>
    </rPh>
    <rPh sb="21" eb="23">
      <t>ヒョウジ</t>
    </rPh>
    <phoneticPr fontId="2"/>
  </si>
  <si>
    <t>検索エリアにおける各入力欄のAND条件で、未削除の災害一覧を全て抽出する。</t>
    <rPh sb="0" eb="2">
      <t>ケンサク</t>
    </rPh>
    <rPh sb="9" eb="12">
      <t>カクニュウリョク</t>
    </rPh>
    <rPh sb="12" eb="13">
      <t>ラン</t>
    </rPh>
    <rPh sb="17" eb="19">
      <t>ジョウケン</t>
    </rPh>
    <rPh sb="21" eb="22">
      <t>ミ</t>
    </rPh>
    <rPh sb="22" eb="24">
      <t>サクジョ</t>
    </rPh>
    <rPh sb="25" eb="27">
      <t>サイガイ</t>
    </rPh>
    <rPh sb="27" eb="29">
      <t>イチラン</t>
    </rPh>
    <rPh sb="30" eb="31">
      <t>スベ</t>
    </rPh>
    <rPh sb="32" eb="34">
      <t>チュウシュツ</t>
    </rPh>
    <phoneticPr fontId="2"/>
  </si>
  <si>
    <t>抽出した災害一覧の災害IDを、ヘッダー文言③に表示する。</t>
    <rPh sb="0" eb="2">
      <t>チュウシュツ</t>
    </rPh>
    <rPh sb="4" eb="6">
      <t>サイガイ</t>
    </rPh>
    <rPh sb="6" eb="8">
      <t>イチラン</t>
    </rPh>
    <rPh sb="9" eb="11">
      <t>サイガイ</t>
    </rPh>
    <rPh sb="19" eb="21">
      <t>ブンゲン</t>
    </rPh>
    <rPh sb="23" eb="25">
      <t>ヒョウジ</t>
    </rPh>
    <phoneticPr fontId="2"/>
  </si>
  <si>
    <t>抽出した災害情報を、災害詳細エリアに表示する。</t>
    <rPh sb="0" eb="2">
      <t>チュウシュツ</t>
    </rPh>
    <rPh sb="4" eb="6">
      <t>サイガイ</t>
    </rPh>
    <rPh sb="6" eb="8">
      <t>ジョウホウ</t>
    </rPh>
    <rPh sb="10" eb="12">
      <t>サイガイ</t>
    </rPh>
    <rPh sb="12" eb="14">
      <t>ショウサイ</t>
    </rPh>
    <rPh sb="18" eb="20">
      <t>ヒョウジ</t>
    </rPh>
    <phoneticPr fontId="2"/>
  </si>
  <si>
    <t>指定した災害情報の災害修正画面へ遷移する。</t>
    <rPh sb="6" eb="8">
      <t>ジョウホウ</t>
    </rPh>
    <rPh sb="9" eb="11">
      <t>サイガイ</t>
    </rPh>
    <rPh sb="11" eb="13">
      <t>シュウセイ</t>
    </rPh>
    <rPh sb="13" eb="15">
      <t>ガメン</t>
    </rPh>
    <rPh sb="16" eb="18">
      <t>センイ</t>
    </rPh>
    <phoneticPr fontId="2"/>
  </si>
  <si>
    <t>同じ災害IDを持つ未削除の被災状況情報が存在しないこと。</t>
    <rPh sb="0" eb="1">
      <t>オナ</t>
    </rPh>
    <rPh sb="2" eb="4">
      <t>サイガイ</t>
    </rPh>
    <rPh sb="7" eb="8">
      <t>モ</t>
    </rPh>
    <rPh sb="9" eb="10">
      <t>ミ</t>
    </rPh>
    <rPh sb="10" eb="12">
      <t>サクジョ</t>
    </rPh>
    <rPh sb="13" eb="15">
      <t>ヒサイ</t>
    </rPh>
    <rPh sb="15" eb="17">
      <t>ジョウキョウ</t>
    </rPh>
    <rPh sb="17" eb="19">
      <t>ジョウホウ</t>
    </rPh>
    <rPh sb="20" eb="22">
      <t>ソンザイ</t>
    </rPh>
    <phoneticPr fontId="2"/>
  </si>
  <si>
    <t>抽出した災害情報の災害IDを、ヘッダー文言③に表示する。</t>
    <rPh sb="0" eb="2">
      <t>チュウシュツ</t>
    </rPh>
    <rPh sb="4" eb="6">
      <t>サイガイ</t>
    </rPh>
    <rPh sb="6" eb="8">
      <t>ジョウホウ</t>
    </rPh>
    <rPh sb="9" eb="11">
      <t>サイガイ</t>
    </rPh>
    <rPh sb="19" eb="21">
      <t>ブンゲン</t>
    </rPh>
    <rPh sb="23" eb="25">
      <t>ヒョウジ</t>
    </rPh>
    <phoneticPr fontId="2"/>
  </si>
  <si>
    <t>抽出した災害情報を、災害修正エリアに表示する。</t>
    <rPh sb="0" eb="2">
      <t>チュウシュツ</t>
    </rPh>
    <rPh sb="4" eb="6">
      <t>サイガイ</t>
    </rPh>
    <rPh sb="6" eb="8">
      <t>ジョウホウ</t>
    </rPh>
    <rPh sb="10" eb="12">
      <t>サイガイ</t>
    </rPh>
    <rPh sb="18" eb="20">
      <t>ヒョウジ</t>
    </rPh>
    <phoneticPr fontId="2"/>
  </si>
  <si>
    <t>備蓄品管理システム</t>
    <rPh sb="0" eb="2">
      <t>ビチク</t>
    </rPh>
    <rPh sb="2" eb="3">
      <t>ヒン</t>
    </rPh>
    <rPh sb="3" eb="5">
      <t>カンリ</t>
    </rPh>
    <phoneticPr fontId="2"/>
  </si>
  <si>
    <t>＜4.1　前提条件＞</t>
  </si>
  <si>
    <t>4.1.1</t>
  </si>
  <si>
    <t>4.2.1</t>
  </si>
  <si>
    <t>各画面のメニューバーから遷移する。</t>
    <rPh sb="12" eb="14">
      <t>センイ</t>
    </rPh>
    <phoneticPr fontId="2"/>
  </si>
  <si>
    <t>1.1.4</t>
    <phoneticPr fontId="2"/>
  </si>
  <si>
    <t>閉じるボタン</t>
    <rPh sb="0" eb="1">
      <t>ト</t>
    </rPh>
    <phoneticPr fontId="2"/>
  </si>
  <si>
    <t>閉じるボタンをクリックする。</t>
    <rPh sb="0" eb="1">
      <t>ト</t>
    </rPh>
    <phoneticPr fontId="2"/>
  </si>
  <si>
    <t>検索エリアが閉じている場合</t>
    <rPh sb="0" eb="2">
      <t>ケンサク</t>
    </rPh>
    <rPh sb="6" eb="7">
      <t>ト</t>
    </rPh>
    <rPh sb="11" eb="13">
      <t>バアイ</t>
    </rPh>
    <phoneticPr fontId="2"/>
  </si>
  <si>
    <t>検索エリアを表示する。</t>
    <rPh sb="0" eb="2">
      <t>ケンサク</t>
    </rPh>
    <rPh sb="6" eb="8">
      <t>ヒョウジ</t>
    </rPh>
    <phoneticPr fontId="2"/>
  </si>
  <si>
    <t>検索エリアが開いている場合</t>
    <rPh sb="0" eb="2">
      <t>ケンサク</t>
    </rPh>
    <rPh sb="6" eb="7">
      <t>ヒラ</t>
    </rPh>
    <rPh sb="11" eb="13">
      <t>バアイ</t>
    </rPh>
    <phoneticPr fontId="2"/>
  </si>
  <si>
    <t>検索エリアを非表示する。</t>
    <rPh sb="0" eb="2">
      <t>ケンサク</t>
    </rPh>
    <rPh sb="6" eb="9">
      <t>ヒヒョウジ</t>
    </rPh>
    <rPh sb="7" eb="9">
      <t>ヒョウジ</t>
    </rPh>
    <phoneticPr fontId="2"/>
  </si>
  <si>
    <t>＜10.1　前提条件＞</t>
  </si>
  <si>
    <t>10.1.1</t>
  </si>
  <si>
    <t>＜10.2　検索エリアの表示/非表示処理＞</t>
    <rPh sb="6" eb="8">
      <t>ケンサク</t>
    </rPh>
    <rPh sb="12" eb="14">
      <t>ヒョウジ</t>
    </rPh>
    <rPh sb="15" eb="18">
      <t>ヒヒョウジ</t>
    </rPh>
    <rPh sb="18" eb="20">
      <t>ショリ</t>
    </rPh>
    <phoneticPr fontId="2"/>
  </si>
  <si>
    <t>10.2.1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</si>
</sst>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;\-#,##0;&quot;-&quot;"/>
    <numFmt numFmtId="177" formatCode="_ * #,##0_ ;_ * &quot;\\\-&quot;#,##0_ ;_ * \-_ ;_ @_ "/>
  </numFmts>
  <fonts count="18">
    <font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b/>
      <sz val="11"/>
      <name val="Helv"/>
      <family val="2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>
      <alignment vertical="center"/>
    </xf>
    <xf numFmtId="176" fontId="3" fillId="0" borderId="0" applyFill="0" applyBorder="0" applyAlignment="0"/>
    <xf numFmtId="0" fontId="4" fillId="0" borderId="0">
      <alignment horizontal="left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177" fontId="11" fillId="0" borderId="0"/>
    <xf numFmtId="0" fontId="6" fillId="0" borderId="0"/>
    <xf numFmtId="4" fontId="4" fillId="0" borderId="0">
      <alignment horizontal="right"/>
    </xf>
    <xf numFmtId="4" fontId="7" fillId="0" borderId="0">
      <alignment horizontal="right"/>
    </xf>
    <xf numFmtId="0" fontId="8" fillId="0" borderId="0">
      <alignment horizontal="left"/>
    </xf>
    <xf numFmtId="0" fontId="12" fillId="0" borderId="0"/>
    <xf numFmtId="0" fontId="9" fillId="0" borderId="0">
      <alignment horizont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ont="1" applyFill="1" applyBorder="1">
      <alignment vertical="center"/>
    </xf>
    <xf numFmtId="0" fontId="0" fillId="2" borderId="21" xfId="0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1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0" fillId="2" borderId="6" xfId="0" applyFont="1" applyFill="1" applyBorder="1">
      <alignment vertical="center"/>
    </xf>
    <xf numFmtId="0" fontId="0" fillId="2" borderId="0" xfId="0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49" fontId="0" fillId="2" borderId="0" xfId="0" applyNumberFormat="1" applyFont="1" applyFill="1" applyBorder="1" applyAlignment="1">
      <alignment horizontal="right" vertical="center"/>
    </xf>
    <xf numFmtId="0" fontId="0" fillId="4" borderId="0" xfId="0" applyFont="1" applyFill="1" applyBorder="1">
      <alignment vertical="center"/>
    </xf>
    <xf numFmtId="0" fontId="0" fillId="4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0" fillId="2" borderId="7" xfId="0" applyFont="1" applyFill="1" applyBorder="1">
      <alignment vertical="center"/>
    </xf>
    <xf numFmtId="0" fontId="0" fillId="2" borderId="8" xfId="0" applyFont="1" applyFill="1" applyBorder="1">
      <alignment vertical="center"/>
    </xf>
    <xf numFmtId="0" fontId="0" fillId="2" borderId="9" xfId="0" applyFont="1" applyFill="1" applyBorder="1">
      <alignment vertical="center"/>
    </xf>
    <xf numFmtId="0" fontId="0" fillId="2" borderId="10" xfId="0" applyFont="1" applyFill="1" applyBorder="1">
      <alignment vertical="center"/>
    </xf>
    <xf numFmtId="0" fontId="15" fillId="3" borderId="4" xfId="13" applyFont="1" applyFill="1" applyBorder="1" applyAlignment="1">
      <alignment horizontal="centerContinuous" vertical="center"/>
    </xf>
    <xf numFmtId="0" fontId="15" fillId="3" borderId="2" xfId="13" applyFont="1" applyFill="1" applyBorder="1" applyAlignment="1">
      <alignment horizontal="centerContinuous" vertical="center"/>
    </xf>
    <xf numFmtId="0" fontId="14" fillId="0" borderId="0" xfId="0" applyFont="1" applyBorder="1" applyAlignment="1">
      <alignment horizontal="left" vertical="top"/>
    </xf>
    <xf numFmtId="0" fontId="1" fillId="2" borderId="0" xfId="0" applyFont="1" applyFill="1" applyBorder="1">
      <alignment vertical="center"/>
    </xf>
    <xf numFmtId="0" fontId="1" fillId="2" borderId="0" xfId="14" applyFont="1" applyFill="1" applyBorder="1" applyAlignment="1">
      <alignment vertical="top"/>
    </xf>
    <xf numFmtId="0" fontId="1" fillId="5" borderId="2" xfId="14" applyFont="1" applyFill="1" applyBorder="1" applyAlignment="1">
      <alignment vertical="top" wrapText="1"/>
    </xf>
    <xf numFmtId="0" fontId="16" fillId="5" borderId="4" xfId="14" applyFont="1" applyFill="1" applyBorder="1">
      <alignment vertical="center"/>
    </xf>
    <xf numFmtId="0" fontId="1" fillId="5" borderId="2" xfId="14" applyFont="1" applyFill="1" applyBorder="1">
      <alignment vertical="center"/>
    </xf>
    <xf numFmtId="0" fontId="1" fillId="5" borderId="3" xfId="14" applyFont="1" applyFill="1" applyBorder="1">
      <alignment vertical="center"/>
    </xf>
    <xf numFmtId="0" fontId="1" fillId="2" borderId="2" xfId="14" applyFont="1" applyFill="1" applyBorder="1" applyAlignment="1">
      <alignment vertical="top" wrapText="1"/>
    </xf>
    <xf numFmtId="0" fontId="1" fillId="2" borderId="3" xfId="14" applyFont="1" applyFill="1" applyBorder="1" applyAlignment="1">
      <alignment vertical="top" wrapText="1"/>
    </xf>
    <xf numFmtId="0" fontId="16" fillId="2" borderId="4" xfId="14" applyFont="1" applyFill="1" applyBorder="1">
      <alignment vertical="center"/>
    </xf>
    <xf numFmtId="0" fontId="1" fillId="2" borderId="2" xfId="14" applyFont="1" applyFill="1" applyBorder="1">
      <alignment vertical="center"/>
    </xf>
    <xf numFmtId="0" fontId="1" fillId="2" borderId="3" xfId="14" applyFont="1" applyFill="1" applyBorder="1">
      <alignment vertical="center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2" borderId="0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3" borderId="4" xfId="0" applyFont="1" applyFill="1" applyBorder="1" applyAlignment="1">
      <alignment horizontal="centerContinuous" vertical="top"/>
    </xf>
    <xf numFmtId="0" fontId="1" fillId="3" borderId="2" xfId="0" applyFont="1" applyFill="1" applyBorder="1" applyAlignment="1">
      <alignment horizontal="centerContinuous" vertical="top"/>
    </xf>
    <xf numFmtId="0" fontId="1" fillId="3" borderId="3" xfId="0" applyFont="1" applyFill="1" applyBorder="1" applyAlignment="1">
      <alignment horizontal="centerContinuous" vertical="top"/>
    </xf>
    <xf numFmtId="0" fontId="1" fillId="3" borderId="2" xfId="0" applyFont="1" applyFill="1" applyBorder="1" applyAlignment="1">
      <alignment vertical="top"/>
    </xf>
    <xf numFmtId="0" fontId="1" fillId="3" borderId="12" xfId="0" applyFont="1" applyFill="1" applyBorder="1" applyAlignment="1">
      <alignment vertical="top"/>
    </xf>
    <xf numFmtId="0" fontId="1" fillId="2" borderId="4" xfId="0" applyFont="1" applyFill="1" applyBorder="1" applyAlignment="1">
      <alignment horizontal="centerContinuous" vertical="top"/>
    </xf>
    <xf numFmtId="0" fontId="1" fillId="2" borderId="2" xfId="0" applyFont="1" applyFill="1" applyBorder="1" applyAlignment="1">
      <alignment horizontal="centerContinuous" vertical="top"/>
    </xf>
    <xf numFmtId="0" fontId="1" fillId="2" borderId="3" xfId="0" applyFont="1" applyFill="1" applyBorder="1" applyAlignment="1">
      <alignment horizontal="centerContinuous"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0" xfId="0" applyFont="1" applyFill="1" applyBorder="1" applyAlignment="1">
      <alignment horizontal="right" vertical="top"/>
    </xf>
    <xf numFmtId="0" fontId="1" fillId="2" borderId="13" xfId="0" applyFont="1" applyFill="1" applyBorder="1" applyAlignment="1">
      <alignment vertical="top"/>
    </xf>
    <xf numFmtId="0" fontId="1" fillId="2" borderId="14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1" fillId="2" borderId="16" xfId="0" applyFont="1" applyFill="1" applyBorder="1" applyAlignment="1">
      <alignment vertical="top"/>
    </xf>
    <xf numFmtId="0" fontId="1" fillId="2" borderId="17" xfId="0" applyFont="1" applyFill="1" applyBorder="1" applyAlignment="1">
      <alignment vertical="top"/>
    </xf>
    <xf numFmtId="0" fontId="1" fillId="2" borderId="18" xfId="0" applyFont="1" applyFill="1" applyBorder="1" applyAlignment="1">
      <alignment vertical="top"/>
    </xf>
    <xf numFmtId="0" fontId="1" fillId="2" borderId="0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vertical="top"/>
    </xf>
    <xf numFmtId="0" fontId="1" fillId="3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vertical="top"/>
    </xf>
    <xf numFmtId="0" fontId="1" fillId="2" borderId="14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1" fillId="2" borderId="14" xfId="0" applyFont="1" applyFill="1" applyBorder="1" applyAlignment="1">
      <alignment horizontal="left" vertical="top"/>
    </xf>
    <xf numFmtId="0" fontId="1" fillId="2" borderId="23" xfId="0" applyFont="1" applyFill="1" applyBorder="1" applyAlignment="1">
      <alignment vertical="top"/>
    </xf>
    <xf numFmtId="0" fontId="1" fillId="2" borderId="24" xfId="0" applyFont="1" applyFill="1" applyBorder="1" applyAlignment="1">
      <alignment vertical="top"/>
    </xf>
    <xf numFmtId="0" fontId="1" fillId="2" borderId="25" xfId="0" applyFont="1" applyFill="1" applyBorder="1" applyAlignment="1">
      <alignment vertical="top"/>
    </xf>
    <xf numFmtId="0" fontId="1" fillId="2" borderId="24" xfId="0" applyFont="1" applyFill="1" applyBorder="1" applyAlignment="1">
      <alignment horizontal="left" vertical="top"/>
    </xf>
    <xf numFmtId="0" fontId="1" fillId="5" borderId="4" xfId="12" applyFont="1" applyFill="1" applyBorder="1" applyAlignment="1">
      <alignment vertical="top"/>
    </xf>
    <xf numFmtId="0" fontId="1" fillId="5" borderId="2" xfId="12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5" borderId="4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2" borderId="23" xfId="12" applyFont="1" applyFill="1" applyBorder="1" applyAlignment="1">
      <alignment vertical="top"/>
    </xf>
    <xf numFmtId="0" fontId="1" fillId="2" borderId="24" xfId="12" applyFont="1" applyFill="1" applyBorder="1" applyAlignment="1">
      <alignment vertical="top"/>
    </xf>
    <xf numFmtId="0" fontId="1" fillId="2" borderId="0" xfId="0" applyFont="1" applyFill="1" applyBorder="1" applyAlignment="1">
      <alignment horizontal="left" vertical="top" indent="1"/>
    </xf>
    <xf numFmtId="0" fontId="1" fillId="2" borderId="20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2" borderId="9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2" borderId="26" xfId="0" applyFont="1" applyFill="1" applyBorder="1" applyAlignment="1">
      <alignment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12" applyFont="1" applyFill="1" applyBorder="1" applyAlignment="1">
      <alignment vertical="top"/>
    </xf>
    <xf numFmtId="0" fontId="1" fillId="2" borderId="0" xfId="12" applyFont="1" applyFill="1" applyBorder="1" applyAlignment="1">
      <alignment horizontal="right" vertical="top"/>
    </xf>
    <xf numFmtId="0" fontId="1" fillId="5" borderId="11" xfId="12" applyFont="1" applyFill="1" applyBorder="1" applyAlignment="1">
      <alignment vertical="top"/>
    </xf>
    <xf numFmtId="0" fontId="1" fillId="5" borderId="5" xfId="12" applyFont="1" applyFill="1" applyBorder="1" applyAlignment="1">
      <alignment vertical="top"/>
    </xf>
    <xf numFmtId="0" fontId="1" fillId="5" borderId="12" xfId="12" applyFont="1" applyFill="1" applyBorder="1" applyAlignment="1">
      <alignment vertical="top"/>
    </xf>
    <xf numFmtId="0" fontId="1" fillId="5" borderId="2" xfId="12" applyFont="1" applyFill="1" applyBorder="1" applyAlignment="1">
      <alignment horizontal="left" vertical="top"/>
    </xf>
    <xf numFmtId="0" fontId="1" fillId="5" borderId="3" xfId="12" applyFont="1" applyFill="1" applyBorder="1" applyAlignment="1">
      <alignment vertical="top"/>
    </xf>
    <xf numFmtId="0" fontId="1" fillId="2" borderId="7" xfId="12" applyFont="1" applyFill="1" applyBorder="1" applyAlignment="1">
      <alignment vertical="top"/>
    </xf>
    <xf numFmtId="0" fontId="1" fillId="2" borderId="0" xfId="12" applyFont="1" applyFill="1">
      <alignment vertical="center"/>
    </xf>
    <xf numFmtId="0" fontId="1" fillId="2" borderId="27" xfId="12" applyFont="1" applyFill="1" applyBorder="1" applyAlignment="1">
      <alignment vertical="top"/>
    </xf>
    <xf numFmtId="0" fontId="1" fillId="2" borderId="28" xfId="12" applyFont="1" applyFill="1" applyBorder="1" applyAlignment="1">
      <alignment vertical="top"/>
    </xf>
    <xf numFmtId="0" fontId="1" fillId="2" borderId="28" xfId="12" applyFont="1" applyFill="1" applyBorder="1" applyAlignment="1">
      <alignment horizontal="left" vertical="top"/>
    </xf>
    <xf numFmtId="0" fontId="1" fillId="2" borderId="29" xfId="12" applyFont="1" applyFill="1" applyBorder="1" applyAlignment="1">
      <alignment horizontal="left" vertical="top"/>
    </xf>
    <xf numFmtId="0" fontId="1" fillId="2" borderId="30" xfId="12" applyFont="1" applyFill="1" applyBorder="1" applyAlignment="1">
      <alignment vertical="top"/>
    </xf>
    <xf numFmtId="0" fontId="1" fillId="2" borderId="31" xfId="12" applyFont="1" applyFill="1" applyBorder="1" applyAlignment="1">
      <alignment vertical="top"/>
    </xf>
    <xf numFmtId="0" fontId="1" fillId="2" borderId="31" xfId="12" applyFont="1" applyFill="1" applyBorder="1" applyAlignment="1">
      <alignment horizontal="left" vertical="top"/>
    </xf>
    <xf numFmtId="0" fontId="1" fillId="2" borderId="32" xfId="12" applyFont="1" applyFill="1" applyBorder="1" applyAlignment="1">
      <alignment horizontal="left" vertical="top"/>
    </xf>
    <xf numFmtId="0" fontId="1" fillId="2" borderId="24" xfId="12" applyFont="1" applyFill="1" applyBorder="1" applyAlignment="1">
      <alignment horizontal="left" vertical="top"/>
    </xf>
    <xf numFmtId="0" fontId="1" fillId="2" borderId="25" xfId="12" applyFont="1" applyFill="1" applyBorder="1" applyAlignment="1">
      <alignment horizontal="left" vertical="top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Continuous" vertical="center"/>
    </xf>
    <xf numFmtId="0" fontId="1" fillId="3" borderId="2" xfId="0" applyFont="1" applyFill="1" applyBorder="1" applyAlignment="1">
      <alignment horizontal="centerContinuous" vertical="center"/>
    </xf>
    <xf numFmtId="0" fontId="1" fillId="3" borderId="3" xfId="0" applyFont="1" applyFill="1" applyBorder="1" applyAlignment="1">
      <alignment horizontal="centerContinuous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Continuous" vertical="center" shrinkToFit="1"/>
    </xf>
    <xf numFmtId="0" fontId="1" fillId="3" borderId="3" xfId="0" applyFont="1" applyFill="1" applyBorder="1" applyAlignment="1">
      <alignment horizontal="centerContinuous" vertical="center" shrinkToFit="1"/>
    </xf>
    <xf numFmtId="0" fontId="1" fillId="2" borderId="19" xfId="0" applyFont="1" applyFill="1" applyBorder="1" applyAlignment="1">
      <alignment vertical="top"/>
    </xf>
    <xf numFmtId="0" fontId="1" fillId="2" borderId="0" xfId="14" applyFont="1" applyFill="1" applyBorder="1" applyAlignment="1">
      <alignment horizontal="left" vertical="top"/>
    </xf>
    <xf numFmtId="0" fontId="1" fillId="5" borderId="4" xfId="15" applyFont="1" applyFill="1" applyBorder="1">
      <alignment vertical="center"/>
    </xf>
    <xf numFmtId="0" fontId="1" fillId="2" borderId="4" xfId="15" applyFont="1" applyFill="1" applyBorder="1">
      <alignment vertical="center"/>
    </xf>
    <xf numFmtId="0" fontId="1" fillId="2" borderId="6" xfId="14" applyFont="1" applyFill="1" applyBorder="1" applyAlignment="1">
      <alignment vertical="top"/>
    </xf>
    <xf numFmtId="0" fontId="1" fillId="2" borderId="7" xfId="14" applyFont="1" applyFill="1" applyBorder="1" applyAlignment="1">
      <alignment vertical="top"/>
    </xf>
    <xf numFmtId="0" fontId="1" fillId="2" borderId="0" xfId="14" applyFont="1" applyFill="1">
      <alignment vertical="center"/>
    </xf>
    <xf numFmtId="0" fontId="1" fillId="4" borderId="11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12" xfId="0" applyFont="1" applyFill="1" applyBorder="1">
      <alignment vertical="center"/>
    </xf>
    <xf numFmtId="0" fontId="1" fillId="4" borderId="8" xfId="0" applyFont="1" applyFill="1" applyBorder="1">
      <alignment vertical="center"/>
    </xf>
    <xf numFmtId="0" fontId="1" fillId="4" borderId="9" xfId="0" applyFont="1" applyFill="1" applyBorder="1">
      <alignment vertical="center"/>
    </xf>
    <xf numFmtId="0" fontId="1" fillId="4" borderId="10" xfId="0" applyFont="1" applyFill="1" applyBorder="1">
      <alignment vertical="center"/>
    </xf>
    <xf numFmtId="0" fontId="17" fillId="2" borderId="0" xfId="16" applyFont="1" applyFill="1" applyBorder="1" applyAlignment="1">
      <alignment horizontal="right" vertical="top"/>
    </xf>
    <xf numFmtId="0" fontId="17" fillId="2" borderId="0" xfId="16" applyFont="1" applyFill="1" applyBorder="1" applyAlignment="1">
      <alignment vertical="top"/>
    </xf>
    <xf numFmtId="0" fontId="17" fillId="2" borderId="0" xfId="0" applyFont="1" applyFill="1" applyBorder="1" applyAlignment="1">
      <alignment vertical="top"/>
    </xf>
    <xf numFmtId="0" fontId="14" fillId="2" borderId="4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4" xfId="13" applyFont="1" applyFill="1" applyBorder="1" applyAlignment="1">
      <alignment vertical="center" shrinkToFit="1"/>
    </xf>
    <xf numFmtId="0" fontId="15" fillId="2" borderId="2" xfId="13" applyFont="1" applyFill="1" applyBorder="1" applyAlignment="1">
      <alignment vertical="center" shrinkToFit="1"/>
    </xf>
    <xf numFmtId="0" fontId="15" fillId="2" borderId="3" xfId="13" applyFont="1" applyFill="1" applyBorder="1" applyAlignment="1">
      <alignment vertical="center" shrinkToFit="1"/>
    </xf>
    <xf numFmtId="0" fontId="15" fillId="3" borderId="4" xfId="13" applyFont="1" applyFill="1" applyBorder="1" applyAlignment="1">
      <alignment horizontal="center" vertical="center"/>
    </xf>
    <xf numFmtId="0" fontId="15" fillId="3" borderId="2" xfId="13" applyFont="1" applyFill="1" applyBorder="1" applyAlignment="1">
      <alignment horizontal="center" vertical="center"/>
    </xf>
    <xf numFmtId="0" fontId="15" fillId="3" borderId="3" xfId="13" applyFont="1" applyFill="1" applyBorder="1" applyAlignment="1">
      <alignment horizontal="center" vertical="center"/>
    </xf>
    <xf numFmtId="0" fontId="13" fillId="2" borderId="11" xfId="13" applyFont="1" applyFill="1" applyBorder="1" applyAlignment="1">
      <alignment horizontal="center" vertical="center" shrinkToFit="1"/>
    </xf>
    <xf numFmtId="0" fontId="13" fillId="2" borderId="5" xfId="13" applyFont="1" applyFill="1" applyBorder="1" applyAlignment="1">
      <alignment horizontal="center" vertical="center" shrinkToFit="1"/>
    </xf>
    <xf numFmtId="0" fontId="13" fillId="2" borderId="12" xfId="13" applyFont="1" applyFill="1" applyBorder="1" applyAlignment="1">
      <alignment horizontal="center" vertical="center" shrinkToFit="1"/>
    </xf>
    <xf numFmtId="0" fontId="13" fillId="2" borderId="8" xfId="13" applyFont="1" applyFill="1" applyBorder="1" applyAlignment="1">
      <alignment horizontal="center" vertical="center" shrinkToFit="1"/>
    </xf>
    <xf numFmtId="0" fontId="13" fillId="2" borderId="9" xfId="13" applyFont="1" applyFill="1" applyBorder="1" applyAlignment="1">
      <alignment horizontal="center" vertical="center" shrinkToFit="1"/>
    </xf>
    <xf numFmtId="0" fontId="13" fillId="2" borderId="10" xfId="13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3" borderId="19" xfId="0" applyFont="1" applyFill="1" applyBorder="1" applyAlignment="1">
      <alignment horizontal="center" vertical="top"/>
    </xf>
    <xf numFmtId="0" fontId="1" fillId="3" borderId="20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5" fillId="2" borderId="4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2" borderId="3" xfId="0" applyFont="1" applyFill="1" applyBorder="1" applyAlignment="1">
      <alignment vertical="center"/>
    </xf>
    <xf numFmtId="0" fontId="1" fillId="2" borderId="11" xfId="14" applyFont="1" applyFill="1" applyBorder="1" applyAlignment="1">
      <alignment horizontal="left" vertical="top" wrapText="1"/>
    </xf>
    <xf numFmtId="0" fontId="1" fillId="2" borderId="5" xfId="14" applyFont="1" applyFill="1" applyBorder="1" applyAlignment="1">
      <alignment horizontal="left" vertical="top" wrapText="1"/>
    </xf>
    <xf numFmtId="0" fontId="1" fillId="2" borderId="12" xfId="14" applyFont="1" applyFill="1" applyBorder="1" applyAlignment="1">
      <alignment horizontal="left" vertical="top" wrapText="1"/>
    </xf>
    <xf numFmtId="0" fontId="1" fillId="2" borderId="8" xfId="14" applyFont="1" applyFill="1" applyBorder="1" applyAlignment="1">
      <alignment horizontal="left" vertical="top" wrapText="1"/>
    </xf>
    <xf numFmtId="0" fontId="1" fillId="2" borderId="9" xfId="14" applyFont="1" applyFill="1" applyBorder="1" applyAlignment="1">
      <alignment horizontal="left" vertical="top" wrapText="1"/>
    </xf>
    <xf numFmtId="0" fontId="1" fillId="2" borderId="10" xfId="14" applyFont="1" applyFill="1" applyBorder="1" applyAlignment="1">
      <alignment horizontal="left" vertical="top" wrapText="1"/>
    </xf>
    <xf numFmtId="0" fontId="0" fillId="2" borderId="4" xfId="0" applyFont="1" applyFill="1" applyBorder="1" applyAlignment="1">
      <alignment horizontal="centerContinuous" vertical="top"/>
    </xf>
    <xf numFmtId="0" fontId="0" fillId="2" borderId="11" xfId="0" applyFont="1" applyFill="1" applyBorder="1" applyAlignment="1">
      <alignment vertical="top"/>
    </xf>
    <xf numFmtId="0" fontId="0" fillId="2" borderId="0" xfId="0" applyFont="1" applyFill="1" applyBorder="1" applyAlignment="1">
      <alignment horizontal="right" vertical="top"/>
    </xf>
    <xf numFmtId="0" fontId="0" fillId="2" borderId="0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2" borderId="0" xfId="12" applyFont="1" applyFill="1" applyBorder="1" applyAlignment="1">
      <alignment horizontal="left" vertical="top"/>
    </xf>
  </cellXfs>
  <cellStyles count="17">
    <cellStyle name="Calc Currency (0)" xfId="1"/>
    <cellStyle name="entry" xfId="2"/>
    <cellStyle name="Header1" xfId="3"/>
    <cellStyle name="Header2" xfId="4"/>
    <cellStyle name="Normal - Style1" xfId="5"/>
    <cellStyle name="Normal_#18-Internet" xfId="6"/>
    <cellStyle name="price" xfId="7"/>
    <cellStyle name="revised" xfId="8"/>
    <cellStyle name="section" xfId="9"/>
    <cellStyle name="subhead" xfId="10"/>
    <cellStyle name="title" xfId="11"/>
    <cellStyle name="標準" xfId="0" builtinId="0"/>
    <cellStyle name="標準_3.7り災・被災証明書機能" xfId="15"/>
    <cellStyle name="標準_コピー ～ 3.2災害名管理機能(記載ルール追記版）" xfId="14"/>
    <cellStyle name="標準_コピー ～ 3.2災害名管理機能(記載ルール追記版）_3.2災害名管理機能" xfId="12"/>
    <cellStyle name="標準_コピー ～ 3.2災害名管理機能(記載ルール追記版）_3.8地図機能" xfId="16"/>
    <cellStyle name="標準_変更履歴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12700">
          <a:solidFill>
            <a:sysClr val="windowText" lastClr="000000"/>
          </a:solidFill>
        </a:ln>
      </a:spPr>
      <a:bodyPr vertOverflow="clip" horzOverflow="clip" rtlCol="0" anchor="t"/>
      <a:lstStyle>
        <a:defPPr algn="l">
          <a:lnSpc>
            <a:spcPts val="1200"/>
          </a:lnSpc>
          <a:defRPr kumimoji="1" sz="1000">
            <a:solidFill>
              <a:srgbClr val="FF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59"/>
  <sheetViews>
    <sheetView view="pageBreakPreview" zoomScaleNormal="100" zoomScaleSheetLayoutView="100" workbookViewId="0">
      <selection activeCell="D2" sqref="D2:Y2"/>
    </sheetView>
  </sheetViews>
  <sheetFormatPr defaultColWidth="3.6640625" defaultRowHeight="13.5" customHeight="1"/>
  <cols>
    <col min="1" max="26" width="3.6640625" style="1"/>
    <col min="27" max="27" width="3.5546875" style="1" bestFit="1" customWidth="1"/>
    <col min="28" max="28" width="19.44140625" style="1" customWidth="1"/>
    <col min="29" max="29" width="3.5546875" style="1" bestFit="1" customWidth="1"/>
    <col min="30" max="30" width="19.44140625" style="1" customWidth="1"/>
    <col min="31" max="31" width="3.5546875" style="1" bestFit="1" customWidth="1"/>
    <col min="32" max="32" width="19.44140625" style="1" customWidth="1"/>
    <col min="33" max="16384" width="3.6640625" style="1"/>
  </cols>
  <sheetData>
    <row r="1" spans="1:32" ht="13.5" customHeight="1">
      <c r="A1" s="25" t="s">
        <v>7</v>
      </c>
      <c r="B1" s="26"/>
      <c r="C1" s="26"/>
      <c r="D1" s="142" t="s">
        <v>317</v>
      </c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 t="s">
        <v>245</v>
      </c>
      <c r="U1" s="143"/>
      <c r="V1" s="143" t="s">
        <v>246</v>
      </c>
      <c r="W1" s="143"/>
      <c r="X1" s="143"/>
      <c r="Y1" s="144"/>
      <c r="AA1" s="140" t="s">
        <v>20</v>
      </c>
      <c r="AB1" s="141"/>
      <c r="AC1" s="140" t="s">
        <v>22</v>
      </c>
      <c r="AD1" s="141"/>
      <c r="AE1" s="140" t="s">
        <v>23</v>
      </c>
      <c r="AF1" s="141"/>
    </row>
    <row r="2" spans="1:32" ht="13.5" customHeight="1">
      <c r="A2" s="25" t="s">
        <v>0</v>
      </c>
      <c r="B2" s="26"/>
      <c r="C2" s="26"/>
      <c r="D2" s="142" t="str">
        <f>"第"&amp;DBCS($AA$3)&amp;"章　"&amp;AB3</f>
        <v>第３章　機能設計</v>
      </c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 t="s">
        <v>5</v>
      </c>
      <c r="U2" s="143"/>
      <c r="V2" s="143" t="s">
        <v>247</v>
      </c>
      <c r="W2" s="143"/>
      <c r="X2" s="143"/>
      <c r="Y2" s="144"/>
      <c r="AA2" s="7" t="s">
        <v>30</v>
      </c>
      <c r="AB2" s="8" t="s">
        <v>33</v>
      </c>
      <c r="AC2" s="7" t="s">
        <v>30</v>
      </c>
      <c r="AD2" s="8" t="s">
        <v>34</v>
      </c>
      <c r="AE2" s="7" t="s">
        <v>30</v>
      </c>
      <c r="AF2" s="8" t="s">
        <v>31</v>
      </c>
    </row>
    <row r="3" spans="1:32" ht="13.5" customHeight="1">
      <c r="A3" s="145" t="s">
        <v>1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 t="s">
        <v>4</v>
      </c>
      <c r="U3" s="146"/>
      <c r="V3" s="146" t="s">
        <v>8</v>
      </c>
      <c r="W3" s="146"/>
      <c r="X3" s="146"/>
      <c r="Y3" s="147"/>
      <c r="AA3" s="6">
        <v>3</v>
      </c>
      <c r="AB3" s="11" t="s">
        <v>29</v>
      </c>
      <c r="AC3" s="6">
        <v>1</v>
      </c>
      <c r="AD3" s="11" t="s">
        <v>35</v>
      </c>
      <c r="AE3" s="6">
        <v>10</v>
      </c>
      <c r="AF3" s="11" t="s">
        <v>25</v>
      </c>
    </row>
    <row r="4" spans="1:32" ht="13.5" customHeight="1">
      <c r="A4" s="148" t="str">
        <f>IF($AA$3="","",DBCS($AA$3))&amp;IF($AC$3="","",DBCS("."&amp;$AC$3))&amp;IF($AE$3="","",DBCS("."&amp;$AE$3))&amp;DBCS(" ")&amp;$AF$3</f>
        <v>３．１．１０　災害一覧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 t="s">
        <v>16</v>
      </c>
      <c r="U4" s="149"/>
      <c r="V4" s="149" t="s">
        <v>248</v>
      </c>
      <c r="W4" s="149"/>
      <c r="X4" s="149"/>
      <c r="Y4" s="150"/>
    </row>
    <row r="5" spans="1:32" ht="13.5" customHeight="1">
      <c r="A5" s="151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 t="s">
        <v>6</v>
      </c>
      <c r="U5" s="152"/>
      <c r="V5" s="152"/>
      <c r="W5" s="152"/>
      <c r="X5" s="152"/>
      <c r="Y5" s="153"/>
    </row>
    <row r="6" spans="1:32" ht="13.5" customHeight="1">
      <c r="A6" s="14"/>
      <c r="B6" s="15"/>
      <c r="C6" s="15"/>
      <c r="D6" s="15"/>
      <c r="E6" s="15"/>
      <c r="F6" s="15"/>
      <c r="G6" s="15"/>
      <c r="H6" s="15"/>
      <c r="I6" s="5"/>
      <c r="J6" s="5"/>
      <c r="K6" s="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  <c r="Z6" s="4"/>
      <c r="AA6" s="140" t="s">
        <v>24</v>
      </c>
      <c r="AB6" s="141"/>
      <c r="AC6" s="4"/>
      <c r="AD6" s="4"/>
      <c r="AE6" s="4"/>
      <c r="AF6" s="4"/>
    </row>
    <row r="7" spans="1:32" ht="13.5" customHeight="1">
      <c r="A7" s="14"/>
      <c r="B7" s="1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  <c r="Z7" s="4"/>
      <c r="AA7" s="7" t="s">
        <v>30</v>
      </c>
      <c r="AB7" s="8" t="s">
        <v>32</v>
      </c>
      <c r="AC7" s="4"/>
      <c r="AD7" s="4"/>
      <c r="AE7" s="4"/>
      <c r="AF7" s="4"/>
    </row>
    <row r="8" spans="1:32" ht="13.5" customHeight="1">
      <c r="A8" s="14"/>
      <c r="B8" s="15"/>
      <c r="C8" s="5"/>
      <c r="D8" s="5" t="str">
        <f>IF($AA8="","",IF($AA$3="","",DBCS($AA$3))&amp;IF($AC$3="","",DBCS("."&amp;$AC$3))&amp;IF($AE$3="","",DBCS("."&amp;$AE$3))&amp;IF($AA8="","",DBCS("."&amp;$AA8))&amp;DBCS(" ")&amp;$AB8)</f>
        <v>３．１．１０．１　災害一覧</v>
      </c>
      <c r="E8" s="5"/>
      <c r="F8" s="5"/>
      <c r="G8" s="5"/>
      <c r="H8" s="5"/>
      <c r="I8" s="5"/>
      <c r="J8" s="5"/>
      <c r="K8" s="5"/>
      <c r="L8" s="5"/>
      <c r="M8" s="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6"/>
      <c r="Z8" s="4"/>
      <c r="AA8" s="6">
        <v>1</v>
      </c>
      <c r="AB8" s="11" t="s">
        <v>21</v>
      </c>
      <c r="AC8" s="4"/>
      <c r="AD8" s="4"/>
      <c r="AE8" s="4"/>
      <c r="AF8" s="4"/>
    </row>
    <row r="9" spans="1:32" ht="13.5" customHeight="1">
      <c r="A9" s="14"/>
      <c r="B9" s="1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6"/>
      <c r="Z9" s="4"/>
      <c r="AA9" s="9"/>
      <c r="AB9" s="10"/>
      <c r="AC9" s="4"/>
      <c r="AD9" s="4"/>
      <c r="AE9" s="4"/>
      <c r="AF9" s="4"/>
    </row>
    <row r="10" spans="1:32" ht="13.5" customHeight="1">
      <c r="A10" s="14"/>
      <c r="B10" s="15"/>
      <c r="C10" s="5"/>
      <c r="D10" s="5" t="str">
        <f>IF($AA10="","",IF($AA$3="","",DBCS($AA$3))&amp;IF($AC$3="","",DBCS("."&amp;$AC$3))&amp;IF($AE$3="","",DBCS("."&amp;$AE$3))&amp;IF($AA10="","",DBCS("."&amp;$AA10))&amp;DBCS(" ")&amp;$AB10)</f>
        <v>３．１．１０．２　災害登録</v>
      </c>
      <c r="E10" s="5"/>
      <c r="F10" s="15"/>
      <c r="G10" s="15"/>
      <c r="H10" s="15"/>
      <c r="I10" s="5"/>
      <c r="J10" s="5"/>
      <c r="K10" s="5"/>
      <c r="L10" s="5"/>
      <c r="M10" s="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6"/>
      <c r="Z10" s="4"/>
      <c r="AA10" s="6">
        <v>2</v>
      </c>
      <c r="AB10" s="11" t="s">
        <v>26</v>
      </c>
      <c r="AC10" s="4"/>
      <c r="AD10" s="4"/>
      <c r="AE10" s="4"/>
      <c r="AF10" s="4"/>
    </row>
    <row r="11" spans="1:32" ht="13.5" customHeight="1">
      <c r="A11" s="14"/>
      <c r="B11" s="15"/>
      <c r="C11" s="17"/>
      <c r="D11" s="5"/>
      <c r="E11" s="5"/>
      <c r="F11" s="15"/>
      <c r="G11" s="15"/>
      <c r="H11" s="15"/>
      <c r="I11" s="5"/>
      <c r="J11" s="5"/>
      <c r="K11" s="5"/>
      <c r="L11" s="15"/>
      <c r="M11" s="17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6"/>
      <c r="Z11" s="4"/>
      <c r="AA11" s="9"/>
      <c r="AB11" s="10"/>
      <c r="AC11" s="4"/>
      <c r="AD11" s="4"/>
      <c r="AE11" s="4"/>
      <c r="AF11" s="4"/>
    </row>
    <row r="12" spans="1:32" ht="13.5" customHeight="1">
      <c r="A12" s="14"/>
      <c r="B12" s="15"/>
      <c r="C12" s="15"/>
      <c r="D12" s="5" t="str">
        <f t="shared" ref="D12" si="0">IF($AA12="","",IF($AA$3="","",DBCS($AA$3))&amp;IF($AC$3="","",DBCS("."&amp;$AC$3))&amp;IF($AE$3="","",DBCS("."&amp;$AE$3))&amp;IF($AA12="","",DBCS("."&amp;$AA12))&amp;DBCS(" ")&amp;$AB12)</f>
        <v>３．１．１０．３　災害詳細</v>
      </c>
      <c r="E12" s="5"/>
      <c r="F12" s="15"/>
      <c r="G12" s="15"/>
      <c r="H12" s="15"/>
      <c r="I12" s="5"/>
      <c r="J12" s="5"/>
      <c r="K12" s="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6"/>
      <c r="Z12" s="4"/>
      <c r="AA12" s="6">
        <v>3</v>
      </c>
      <c r="AB12" s="11" t="s">
        <v>27</v>
      </c>
      <c r="AC12" s="4"/>
      <c r="AD12" s="4"/>
      <c r="AE12" s="4"/>
      <c r="AF12" s="4"/>
    </row>
    <row r="13" spans="1:32" ht="13.5" customHeight="1">
      <c r="A13" s="14"/>
      <c r="B13" s="15"/>
      <c r="C13" s="17"/>
      <c r="D13" s="5"/>
      <c r="E13" s="13"/>
      <c r="F13" s="13"/>
      <c r="G13" s="13"/>
      <c r="H13" s="13"/>
      <c r="I13" s="5"/>
      <c r="J13" s="5"/>
      <c r="K13" s="5"/>
      <c r="L13" s="15"/>
      <c r="M13" s="17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6"/>
      <c r="Z13" s="4"/>
      <c r="AA13" s="9"/>
      <c r="AB13" s="10"/>
      <c r="AC13" s="4"/>
      <c r="AD13" s="4"/>
      <c r="AE13" s="4"/>
      <c r="AF13" s="4"/>
    </row>
    <row r="14" spans="1:32" ht="13.5" customHeight="1">
      <c r="A14" s="14"/>
      <c r="B14" s="15"/>
      <c r="C14" s="15"/>
      <c r="D14" s="5" t="str">
        <f t="shared" ref="D14" si="1">IF($AA14="","",IF($AA$3="","",DBCS($AA$3))&amp;IF($AC$3="","",DBCS("."&amp;$AC$3))&amp;IF($AE$3="","",DBCS("."&amp;$AE$3))&amp;IF($AA14="","",DBCS("."&amp;$AA14))&amp;DBCS(" ")&amp;$AB14)</f>
        <v>３．１．１０．４　災害修正</v>
      </c>
      <c r="E14" s="13"/>
      <c r="F14" s="13"/>
      <c r="G14" s="13"/>
      <c r="H14" s="13"/>
      <c r="I14" s="5"/>
      <c r="J14" s="5"/>
      <c r="K14" s="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6"/>
      <c r="Z14" s="4"/>
      <c r="AA14" s="6">
        <v>4</v>
      </c>
      <c r="AB14" s="11" t="s">
        <v>28</v>
      </c>
      <c r="AC14" s="4"/>
      <c r="AD14" s="4"/>
      <c r="AE14" s="4"/>
      <c r="AF14" s="4"/>
    </row>
    <row r="15" spans="1:32" ht="13.5" customHeight="1">
      <c r="A15" s="14"/>
      <c r="B15" s="15"/>
      <c r="C15" s="15"/>
      <c r="D15" s="5"/>
      <c r="E15" s="5"/>
      <c r="F15" s="15"/>
      <c r="G15" s="15"/>
      <c r="H15" s="15"/>
      <c r="I15" s="5"/>
      <c r="J15" s="5"/>
      <c r="K15" s="5"/>
      <c r="L15" s="15"/>
      <c r="M15" s="17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6"/>
      <c r="Z15" s="4"/>
      <c r="AA15" s="9"/>
      <c r="AB15" s="10"/>
      <c r="AC15" s="4"/>
      <c r="AD15" s="4"/>
      <c r="AE15" s="4"/>
      <c r="AF15" s="4"/>
    </row>
    <row r="16" spans="1:32" ht="13.5" customHeight="1">
      <c r="A16" s="14"/>
      <c r="B16" s="15"/>
      <c r="C16" s="15"/>
      <c r="D16" s="5" t="str">
        <f t="shared" ref="D16" si="2">IF($AA16="","",IF($AA$3="","",DBCS($AA$3))&amp;IF($AC$3="","",DBCS("."&amp;$AC$3))&amp;IF($AE$3="","",DBCS("."&amp;$AE$3))&amp;IF($AA16="","",DBCS("."&amp;$AA16))&amp;DBCS(" ")&amp;$AB16)</f>
        <v/>
      </c>
      <c r="E16" s="18"/>
      <c r="F16" s="19"/>
      <c r="G16" s="19"/>
      <c r="H16" s="19"/>
      <c r="I16" s="18"/>
      <c r="J16" s="18"/>
      <c r="K16" s="18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6"/>
      <c r="Z16" s="4"/>
      <c r="AA16" s="6"/>
      <c r="AB16" s="11"/>
      <c r="AC16" s="4"/>
      <c r="AD16" s="4"/>
      <c r="AE16" s="4"/>
      <c r="AF16" s="4"/>
    </row>
    <row r="17" spans="1:32" ht="13.5" customHeight="1">
      <c r="A17" s="14"/>
      <c r="B17" s="15"/>
      <c r="C17" s="15"/>
      <c r="D17" s="5"/>
      <c r="E17" s="5"/>
      <c r="F17" s="15"/>
      <c r="G17" s="15"/>
      <c r="H17" s="15"/>
      <c r="I17" s="5"/>
      <c r="J17" s="5"/>
      <c r="K17" s="5"/>
      <c r="L17" s="15"/>
      <c r="M17" s="17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6"/>
      <c r="Z17" s="4"/>
      <c r="AA17" s="9"/>
      <c r="AB17" s="10"/>
      <c r="AC17" s="4"/>
      <c r="AD17" s="4"/>
      <c r="AE17" s="4"/>
      <c r="AF17" s="4"/>
    </row>
    <row r="18" spans="1:32" ht="13.5" customHeight="1">
      <c r="A18" s="14"/>
      <c r="B18" s="15"/>
      <c r="C18" s="15"/>
      <c r="D18" s="5" t="str">
        <f t="shared" ref="D18" si="3">IF($AA18="","",IF($AA$3="","",DBCS($AA$3))&amp;IF($AC$3="","",DBCS("."&amp;$AC$3))&amp;IF($AE$3="","",DBCS("."&amp;$AE$3))&amp;IF($AA18="","",DBCS("."&amp;$AA18))&amp;DBCS(" ")&amp;$AB18)</f>
        <v/>
      </c>
      <c r="E18" s="18"/>
      <c r="F18" s="19"/>
      <c r="G18" s="19"/>
      <c r="H18" s="19"/>
      <c r="I18" s="18"/>
      <c r="J18" s="18"/>
      <c r="K18" s="18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6"/>
      <c r="Z18" s="4"/>
      <c r="AA18" s="6"/>
      <c r="AB18" s="11"/>
      <c r="AC18" s="4"/>
      <c r="AD18" s="4"/>
      <c r="AE18" s="4"/>
      <c r="AF18" s="4"/>
    </row>
    <row r="19" spans="1:32" ht="13.5" customHeight="1">
      <c r="A19" s="14"/>
      <c r="B19" s="15"/>
      <c r="C19" s="15"/>
      <c r="D19" s="5"/>
      <c r="E19" s="5"/>
      <c r="F19" s="15"/>
      <c r="G19" s="15"/>
      <c r="H19" s="15"/>
      <c r="I19" s="5"/>
      <c r="J19" s="5"/>
      <c r="K19" s="5"/>
      <c r="L19" s="15"/>
      <c r="M19" s="17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  <c r="Z19" s="4"/>
      <c r="AA19" s="9"/>
      <c r="AB19" s="10"/>
      <c r="AC19" s="4"/>
      <c r="AD19" s="4"/>
      <c r="AE19" s="4"/>
      <c r="AF19" s="4"/>
    </row>
    <row r="20" spans="1:32" ht="13.5" customHeight="1">
      <c r="A20" s="14"/>
      <c r="B20" s="15"/>
      <c r="C20" s="15"/>
      <c r="D20" s="5" t="str">
        <f t="shared" ref="D20" si="4">IF($AA20="","",IF($AA$3="","",DBCS($AA$3))&amp;IF($AC$3="","",DBCS("."&amp;$AC$3))&amp;IF($AE$3="","",DBCS("."&amp;$AE$3))&amp;IF($AA20="","",DBCS("."&amp;$AA20))&amp;DBCS(" ")&amp;$AB20)</f>
        <v/>
      </c>
      <c r="E20" s="18"/>
      <c r="F20" s="19"/>
      <c r="G20" s="19"/>
      <c r="H20" s="19"/>
      <c r="I20" s="18"/>
      <c r="J20" s="18"/>
      <c r="K20" s="18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6"/>
      <c r="Z20" s="4"/>
      <c r="AA20" s="6"/>
      <c r="AB20" s="11"/>
      <c r="AC20" s="4"/>
      <c r="AD20" s="4"/>
      <c r="AE20" s="4"/>
      <c r="AF20" s="4"/>
    </row>
    <row r="21" spans="1:32" ht="13.5" customHeight="1">
      <c r="A21" s="14"/>
      <c r="B21" s="15"/>
      <c r="C21" s="15"/>
      <c r="D21" s="5"/>
      <c r="E21" s="5"/>
      <c r="F21" s="15"/>
      <c r="G21" s="15"/>
      <c r="H21" s="15"/>
      <c r="I21" s="5"/>
      <c r="J21" s="5"/>
      <c r="K21" s="5"/>
      <c r="L21" s="15"/>
      <c r="M21" s="17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6"/>
      <c r="Z21" s="4"/>
      <c r="AA21" s="9"/>
      <c r="AB21" s="10"/>
      <c r="AC21" s="4"/>
      <c r="AD21" s="4"/>
      <c r="AE21" s="4"/>
      <c r="AF21" s="4"/>
    </row>
    <row r="22" spans="1:32" ht="13.5" customHeight="1">
      <c r="A22" s="14"/>
      <c r="B22" s="15"/>
      <c r="C22" s="15"/>
      <c r="D22" s="5" t="str">
        <f t="shared" ref="D22" si="5">IF($AA22="","",IF($AA$3="","",DBCS($AA$3))&amp;IF($AC$3="","",DBCS("."&amp;$AC$3))&amp;IF($AE$3="","",DBCS("."&amp;$AE$3))&amp;IF($AA22="","",DBCS("."&amp;$AA22))&amp;DBCS(" ")&amp;$AB22)</f>
        <v/>
      </c>
      <c r="E22" s="18"/>
      <c r="F22" s="19"/>
      <c r="G22" s="19"/>
      <c r="H22" s="19"/>
      <c r="I22" s="18"/>
      <c r="J22" s="18"/>
      <c r="K22" s="1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6"/>
      <c r="Z22" s="4"/>
      <c r="AA22" s="6"/>
      <c r="AB22" s="11"/>
      <c r="AC22" s="4"/>
      <c r="AD22" s="4"/>
      <c r="AE22" s="4"/>
      <c r="AF22" s="4"/>
    </row>
    <row r="23" spans="1:32" ht="13.5" customHeight="1">
      <c r="A23" s="14"/>
      <c r="B23" s="15"/>
      <c r="C23" s="15"/>
      <c r="D23" s="5"/>
      <c r="E23" s="5"/>
      <c r="F23" s="15"/>
      <c r="G23" s="15"/>
      <c r="H23" s="15"/>
      <c r="I23" s="5"/>
      <c r="J23" s="5"/>
      <c r="K23" s="5"/>
      <c r="L23" s="15"/>
      <c r="M23" s="17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6"/>
      <c r="Z23" s="4"/>
      <c r="AA23" s="9"/>
      <c r="AB23" s="10"/>
      <c r="AC23" s="4"/>
      <c r="AD23" s="4"/>
      <c r="AE23" s="4"/>
      <c r="AF23" s="4"/>
    </row>
    <row r="24" spans="1:32" ht="13.5" customHeight="1">
      <c r="A24" s="14"/>
      <c r="B24" s="15"/>
      <c r="C24" s="15"/>
      <c r="D24" s="5" t="str">
        <f t="shared" ref="D24" si="6">IF($AA24="","",IF($AA$3="","",DBCS($AA$3))&amp;IF($AC$3="","",DBCS("."&amp;$AC$3))&amp;IF($AE$3="","",DBCS("."&amp;$AE$3))&amp;IF($AA24="","",DBCS("."&amp;$AA24))&amp;DBCS(" ")&amp;$AB24)</f>
        <v/>
      </c>
      <c r="E24" s="18"/>
      <c r="F24" s="19"/>
      <c r="G24" s="19"/>
      <c r="H24" s="19"/>
      <c r="I24" s="18"/>
      <c r="J24" s="18"/>
      <c r="K24" s="18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6"/>
      <c r="Z24" s="4"/>
      <c r="AA24" s="6"/>
      <c r="AB24" s="11"/>
      <c r="AC24" s="4"/>
      <c r="AD24" s="4"/>
      <c r="AE24" s="4"/>
      <c r="AF24" s="4"/>
    </row>
    <row r="25" spans="1:32" ht="13.5" customHeight="1">
      <c r="A25" s="14"/>
      <c r="B25" s="15"/>
      <c r="C25" s="15"/>
      <c r="D25" s="5"/>
      <c r="E25" s="5"/>
      <c r="F25" s="15"/>
      <c r="G25" s="15"/>
      <c r="H25" s="15"/>
      <c r="I25" s="5"/>
      <c r="J25" s="5"/>
      <c r="K25" s="5"/>
      <c r="L25" s="15"/>
      <c r="M25" s="17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6"/>
      <c r="Z25" s="4"/>
      <c r="AA25" s="9"/>
      <c r="AB25" s="10"/>
      <c r="AC25" s="4"/>
      <c r="AD25" s="4"/>
      <c r="AE25" s="4"/>
      <c r="AF25" s="4"/>
    </row>
    <row r="26" spans="1:32" ht="13.5" customHeight="1">
      <c r="A26" s="14"/>
      <c r="B26" s="15"/>
      <c r="C26" s="15"/>
      <c r="D26" s="5" t="str">
        <f t="shared" ref="D26" si="7">IF($AA26="","",IF($AA$3="","",DBCS($AA$3))&amp;IF($AC$3="","",DBCS("."&amp;$AC$3))&amp;IF($AE$3="","",DBCS("."&amp;$AE$3))&amp;IF($AA26="","",DBCS("."&amp;$AA26))&amp;DBCS(" ")&amp;$AB26)</f>
        <v/>
      </c>
      <c r="E26" s="18"/>
      <c r="F26" s="19"/>
      <c r="G26" s="19"/>
      <c r="H26" s="19"/>
      <c r="I26" s="18"/>
      <c r="J26" s="18"/>
      <c r="K26" s="1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6"/>
      <c r="Z26" s="4"/>
      <c r="AA26" s="6"/>
      <c r="AB26" s="11"/>
      <c r="AC26" s="4"/>
      <c r="AD26" s="4"/>
      <c r="AE26" s="4"/>
      <c r="AF26" s="4"/>
    </row>
    <row r="27" spans="1:32" ht="13.5" customHeight="1">
      <c r="A27" s="14"/>
      <c r="B27" s="15"/>
      <c r="C27" s="15"/>
      <c r="D27" s="5"/>
      <c r="E27" s="5"/>
      <c r="F27" s="15"/>
      <c r="G27" s="15"/>
      <c r="H27" s="15"/>
      <c r="I27" s="5"/>
      <c r="J27" s="5"/>
      <c r="K27" s="5"/>
      <c r="L27" s="15"/>
      <c r="M27" s="17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6"/>
      <c r="Z27" s="4"/>
      <c r="AA27" s="9"/>
      <c r="AB27" s="10"/>
      <c r="AC27" s="4"/>
      <c r="AD27" s="4"/>
      <c r="AE27" s="4"/>
      <c r="AF27" s="4"/>
    </row>
    <row r="28" spans="1:32" ht="13.5" customHeight="1">
      <c r="A28" s="14"/>
      <c r="B28" s="15"/>
      <c r="C28" s="15"/>
      <c r="D28" s="5" t="str">
        <f t="shared" ref="D28" si="8">IF($AA28="","",IF($AA$3="","",DBCS($AA$3))&amp;IF($AC$3="","",DBCS("."&amp;$AC$3))&amp;IF($AE$3="","",DBCS("."&amp;$AE$3))&amp;IF($AA28="","",DBCS("."&amp;$AA28))&amp;DBCS(" ")&amp;$AB28)</f>
        <v/>
      </c>
      <c r="E28" s="18"/>
      <c r="F28" s="19"/>
      <c r="G28" s="19"/>
      <c r="H28" s="19"/>
      <c r="I28" s="18"/>
      <c r="J28" s="18"/>
      <c r="K28" s="18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6"/>
      <c r="Z28" s="4"/>
      <c r="AA28" s="6"/>
      <c r="AB28" s="11"/>
      <c r="AC28" s="4"/>
      <c r="AD28" s="4"/>
      <c r="AE28" s="4"/>
      <c r="AF28" s="4"/>
    </row>
    <row r="29" spans="1:32" ht="13.5" customHeight="1">
      <c r="A29" s="14"/>
      <c r="B29" s="15"/>
      <c r="C29" s="15"/>
      <c r="D29" s="5"/>
      <c r="E29" s="5"/>
      <c r="F29" s="15"/>
      <c r="G29" s="15"/>
      <c r="H29" s="15"/>
      <c r="I29" s="5"/>
      <c r="J29" s="5"/>
      <c r="K29" s="5"/>
      <c r="L29" s="15"/>
      <c r="M29" s="17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6"/>
      <c r="Z29" s="4"/>
      <c r="AA29" s="9"/>
      <c r="AB29" s="10"/>
      <c r="AC29" s="4"/>
      <c r="AD29" s="4"/>
      <c r="AE29" s="4"/>
      <c r="AF29" s="4"/>
    </row>
    <row r="30" spans="1:32" ht="13.5" customHeight="1">
      <c r="A30" s="14"/>
      <c r="B30" s="15"/>
      <c r="C30" s="15"/>
      <c r="D30" s="5" t="str">
        <f t="shared" ref="D30" si="9">IF($AA30="","",IF($AA$3="","",DBCS($AA$3))&amp;IF($AC$3="","",DBCS("."&amp;$AC$3))&amp;IF($AE$3="","",DBCS("."&amp;$AE$3))&amp;IF($AA30="","",DBCS("."&amp;$AA30))&amp;DBCS(" ")&amp;$AB30)</f>
        <v/>
      </c>
      <c r="E30" s="18"/>
      <c r="F30" s="19"/>
      <c r="G30" s="19"/>
      <c r="H30" s="19"/>
      <c r="I30" s="18"/>
      <c r="J30" s="18"/>
      <c r="K30" s="1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6"/>
      <c r="Z30" s="4"/>
      <c r="AA30" s="6"/>
      <c r="AB30" s="11"/>
      <c r="AC30" s="4"/>
      <c r="AD30" s="4"/>
      <c r="AE30" s="4"/>
      <c r="AF30" s="4"/>
    </row>
    <row r="31" spans="1:32" ht="13.5" customHeight="1">
      <c r="A31" s="14"/>
      <c r="B31" s="15"/>
      <c r="C31" s="15"/>
      <c r="D31" s="5"/>
      <c r="E31" s="5"/>
      <c r="F31" s="15"/>
      <c r="G31" s="15"/>
      <c r="H31" s="15"/>
      <c r="I31" s="5"/>
      <c r="J31" s="5"/>
      <c r="K31" s="5"/>
      <c r="L31" s="15"/>
      <c r="M31" s="17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6"/>
      <c r="Z31" s="4"/>
      <c r="AA31" s="9"/>
      <c r="AB31" s="10"/>
      <c r="AC31" s="4"/>
      <c r="AD31" s="4"/>
      <c r="AE31" s="4"/>
      <c r="AF31" s="4"/>
    </row>
    <row r="32" spans="1:32" ht="13.5" customHeight="1">
      <c r="A32" s="14"/>
      <c r="B32" s="15"/>
      <c r="C32" s="15"/>
      <c r="D32" s="5" t="str">
        <f t="shared" ref="D32" si="10">IF($AA32="","",IF($AA$3="","",DBCS($AA$3))&amp;IF($AC$3="","",DBCS("."&amp;$AC$3))&amp;IF($AE$3="","",DBCS("."&amp;$AE$3))&amp;IF($AA32="","",DBCS("."&amp;$AA32))&amp;DBCS(" ")&amp;$AB32)</f>
        <v/>
      </c>
      <c r="E32" s="18"/>
      <c r="F32" s="19"/>
      <c r="G32" s="19"/>
      <c r="H32" s="19"/>
      <c r="I32" s="18"/>
      <c r="J32" s="18"/>
      <c r="K32" s="1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6"/>
      <c r="Z32" s="4"/>
      <c r="AA32" s="6"/>
      <c r="AB32" s="11"/>
      <c r="AC32" s="4"/>
      <c r="AD32" s="4"/>
      <c r="AE32" s="4"/>
      <c r="AF32" s="4"/>
    </row>
    <row r="33" spans="1:32" ht="13.5" customHeight="1">
      <c r="A33" s="14"/>
      <c r="B33" s="15"/>
      <c r="C33" s="15"/>
      <c r="D33" s="5"/>
      <c r="E33" s="5"/>
      <c r="F33" s="15"/>
      <c r="G33" s="15"/>
      <c r="H33" s="15"/>
      <c r="I33" s="5"/>
      <c r="J33" s="5"/>
      <c r="K33" s="5"/>
      <c r="L33" s="15"/>
      <c r="M33" s="17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6"/>
      <c r="Z33" s="4"/>
      <c r="AA33" s="9"/>
      <c r="AB33" s="10"/>
      <c r="AC33" s="4"/>
      <c r="AD33" s="4"/>
      <c r="AE33" s="4"/>
      <c r="AF33" s="4"/>
    </row>
    <row r="34" spans="1:32" ht="13.5" customHeight="1">
      <c r="A34" s="14"/>
      <c r="B34" s="15"/>
      <c r="C34" s="15"/>
      <c r="D34" s="5" t="str">
        <f t="shared" ref="D34" si="11">IF($AA34="","",IF($AA$3="","",DBCS($AA$3))&amp;IF($AC$3="","",DBCS("."&amp;$AC$3))&amp;IF($AE$3="","",DBCS("."&amp;$AE$3))&amp;IF($AA34="","",DBCS("."&amp;$AA34))&amp;DBCS(" ")&amp;$AB34)</f>
        <v/>
      </c>
      <c r="E34" s="18"/>
      <c r="F34" s="19"/>
      <c r="G34" s="19"/>
      <c r="H34" s="19"/>
      <c r="I34" s="18"/>
      <c r="J34" s="18"/>
      <c r="K34" s="1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6"/>
      <c r="Z34" s="4"/>
      <c r="AA34" s="6"/>
      <c r="AB34" s="11"/>
      <c r="AC34" s="4"/>
      <c r="AD34" s="4"/>
      <c r="AE34" s="4"/>
      <c r="AF34" s="4"/>
    </row>
    <row r="35" spans="1:32" ht="13.5" customHeight="1">
      <c r="A35" s="14"/>
      <c r="B35" s="15"/>
      <c r="C35" s="15"/>
      <c r="D35" s="5"/>
      <c r="E35" s="5"/>
      <c r="F35" s="15"/>
      <c r="G35" s="15"/>
      <c r="H35" s="15"/>
      <c r="I35" s="5"/>
      <c r="J35" s="5"/>
      <c r="K35" s="5"/>
      <c r="L35" s="15"/>
      <c r="M35" s="17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6"/>
      <c r="Z35" s="4"/>
      <c r="AA35" s="9"/>
      <c r="AB35" s="10"/>
      <c r="AC35" s="4"/>
      <c r="AD35" s="4"/>
      <c r="AE35" s="4"/>
      <c r="AF35" s="4"/>
    </row>
    <row r="36" spans="1:32" ht="13.5" customHeight="1">
      <c r="A36" s="14"/>
      <c r="B36" s="5"/>
      <c r="C36" s="5"/>
      <c r="D36" s="2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21"/>
    </row>
    <row r="37" spans="1:32" ht="13.5" customHeight="1">
      <c r="A37" s="14"/>
      <c r="B37" s="5"/>
      <c r="C37" s="5"/>
      <c r="D37" s="20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21"/>
    </row>
    <row r="38" spans="1:32" ht="13.5" customHeight="1">
      <c r="A38" s="14"/>
      <c r="B38" s="5"/>
      <c r="C38" s="5"/>
      <c r="D38" s="2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21"/>
    </row>
    <row r="39" spans="1:32" ht="13.5" customHeight="1">
      <c r="A39" s="14"/>
      <c r="B39" s="5"/>
      <c r="C39" s="5"/>
      <c r="D39" s="20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21"/>
    </row>
    <row r="40" spans="1:32" ht="13.5" customHeight="1">
      <c r="A40" s="14"/>
      <c r="B40" s="5"/>
      <c r="C40" s="5"/>
      <c r="D40" s="2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21"/>
    </row>
    <row r="41" spans="1:32" ht="13.5" customHeight="1">
      <c r="A41" s="14"/>
      <c r="B41" s="5"/>
      <c r="C41" s="5"/>
      <c r="D41" s="2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21"/>
    </row>
    <row r="42" spans="1:32" ht="13.5" customHeight="1">
      <c r="A42" s="14"/>
      <c r="B42" s="5"/>
      <c r="C42" s="5"/>
      <c r="D42" s="2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21"/>
    </row>
    <row r="43" spans="1:32" ht="13.5" customHeight="1">
      <c r="A43" s="14"/>
      <c r="B43" s="5"/>
      <c r="C43" s="5"/>
      <c r="D43" s="20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21"/>
    </row>
    <row r="44" spans="1:32" ht="13.5" customHeight="1">
      <c r="A44" s="14"/>
      <c r="B44" s="5"/>
      <c r="C44" s="5"/>
      <c r="D44" s="2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21"/>
    </row>
    <row r="45" spans="1:32" ht="13.5" customHeight="1">
      <c r="A45" s="14"/>
      <c r="B45" s="5"/>
      <c r="C45" s="5"/>
      <c r="D45" s="2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21"/>
    </row>
    <row r="46" spans="1:32" ht="13.5" customHeight="1">
      <c r="A46" s="14"/>
      <c r="B46" s="5"/>
      <c r="C46" s="5"/>
      <c r="D46" s="2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1"/>
    </row>
    <row r="47" spans="1:32" ht="13.5" customHeight="1">
      <c r="A47" s="1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1"/>
    </row>
    <row r="48" spans="1:32" ht="13.5" customHeight="1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6"/>
      <c r="Z48" s="4"/>
      <c r="AA48" s="4"/>
      <c r="AB48" s="4"/>
      <c r="AC48" s="4"/>
      <c r="AD48" s="4"/>
      <c r="AE48" s="4"/>
      <c r="AF48" s="4"/>
    </row>
    <row r="49" spans="1:32" ht="13.5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6"/>
      <c r="Z49" s="4"/>
      <c r="AA49" s="4"/>
      <c r="AB49" s="4"/>
      <c r="AC49" s="4"/>
      <c r="AD49" s="4"/>
      <c r="AE49" s="4"/>
      <c r="AF49" s="4"/>
    </row>
    <row r="50" spans="1:32" ht="13.5" customHeight="1">
      <c r="A50" s="1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21"/>
      <c r="Z50" s="2"/>
      <c r="AA50" s="2"/>
      <c r="AB50" s="2"/>
      <c r="AC50" s="2"/>
      <c r="AD50" s="2"/>
      <c r="AE50" s="2"/>
      <c r="AF50" s="2"/>
    </row>
    <row r="51" spans="1:32" ht="13.5" customHeight="1">
      <c r="A51" s="1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21"/>
    </row>
    <row r="52" spans="1:32" ht="13.5" customHeight="1">
      <c r="A52" s="1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21"/>
    </row>
    <row r="53" spans="1:32" ht="13.5" customHeight="1">
      <c r="A53" s="1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1"/>
    </row>
    <row r="54" spans="1:32" ht="13.5" customHeight="1">
      <c r="A54" s="1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21"/>
    </row>
    <row r="55" spans="1:32" ht="13.5" customHeight="1">
      <c r="A55" s="1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21"/>
    </row>
    <row r="56" spans="1:32" ht="13.5" customHeight="1">
      <c r="A56" s="1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21"/>
    </row>
    <row r="57" spans="1:32" ht="13.5" customHeight="1">
      <c r="A57" s="1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21"/>
    </row>
    <row r="58" spans="1:32" ht="13.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4"/>
    </row>
    <row r="59" spans="1:32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</sheetData>
  <customSheetViews>
    <customSheetView guid="{BDBA9E3C-757D-4583-A236-21E32FC5642C}" showPageBreaks="1" printArea="1" view="pageBreakPreview">
      <pageMargins left="0.78740157480314965" right="0.78740157480314965" top="0.78740157480314965" bottom="0.78740157480314965" header="0.51181102362204722" footer="0.51181102362204722"/>
      <printOptions horizontalCentered="1"/>
      <pageSetup paperSize="9" orientation="portrait" useFirstPageNumber="1" r:id="rId1"/>
      <headerFooter alignWithMargins="0">
        <oddFooter>&amp;CⅡ.3.1-&amp;P</oddFooter>
      </headerFooter>
    </customSheetView>
    <customSheetView guid="{306D1AAA-0140-4D40-9745-D8F442D56CF2}" showPageBreaks="1" printArea="1" view="pageBreakPreview">
      <pageMargins left="0.78740157480314965" right="0.78740157480314965" top="0.78740157480314965" bottom="0.78740157480314965" header="0.51181102362204722" footer="0.51181102362204722"/>
      <printOptions horizontalCentered="1"/>
      <pageSetup paperSize="9" orientation="portrait" useFirstPageNumber="1" r:id="rId2"/>
      <headerFooter alignWithMargins="0">
        <oddFooter>&amp;CⅡ.3.1-&amp;P</oddFooter>
      </headerFooter>
    </customSheetView>
    <customSheetView guid="{0BEAC79D-708F-45FD-A222-055D201B52D5}" showPageBreaks="1" printArea="1" view="pageBreakPreview" showRuler="0">
      <pageMargins left="0.78740157480314965" right="0.78740157480314965" top="0.78740157480314965" bottom="0.78740157480314965" header="0.51181102362204722" footer="0.51181102362204722"/>
      <printOptions horizontalCentered="1"/>
      <pageSetup paperSize="9" orientation="portrait" useFirstPageNumber="1" r:id="rId3"/>
      <headerFooter alignWithMargins="0">
        <oddFooter>&amp;CⅡ.3.1-&amp;P</oddFooter>
      </headerFooter>
    </customSheetView>
  </customSheetViews>
  <mergeCells count="8">
    <mergeCell ref="AC1:AD1"/>
    <mergeCell ref="AE1:AF1"/>
    <mergeCell ref="AA6:AB6"/>
    <mergeCell ref="AA1:AB1"/>
    <mergeCell ref="D1:Y1"/>
    <mergeCell ref="D2:Y2"/>
    <mergeCell ref="A3:Y3"/>
    <mergeCell ref="A4:Y5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useFirstPageNumber="1" r:id="rId4"/>
  <headerFooter scaleWithDoc="0" alignWithMargins="0">
    <oddFooter>&amp;C3.1.10-&amp;P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7"/>
  <sheetViews>
    <sheetView tabSelected="1" view="pageBreakPreview" zoomScaleNormal="100" zoomScaleSheetLayoutView="100" workbookViewId="0">
      <pane ySplit="6" topLeftCell="A133" activePane="bottomLeft" state="frozen"/>
      <selection activeCell="V2" sqref="V2:Y2"/>
      <selection pane="bottomLeft" activeCell="B146" sqref="B146:K155"/>
    </sheetView>
  </sheetViews>
  <sheetFormatPr defaultColWidth="3.6640625" defaultRowHeight="13.5" customHeight="1"/>
  <cols>
    <col min="1" max="16384" width="3.6640625" style="12"/>
  </cols>
  <sheetData>
    <row r="1" spans="1:25" ht="13.5" customHeight="1">
      <c r="A1" s="25" t="s">
        <v>7</v>
      </c>
      <c r="B1" s="26"/>
      <c r="C1" s="26"/>
      <c r="D1" s="142" t="str">
        <f>目次!D1</f>
        <v>備蓄品管理システム</v>
      </c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 t="s">
        <v>229</v>
      </c>
      <c r="U1" s="143"/>
      <c r="V1" s="143" t="s">
        <v>230</v>
      </c>
      <c r="W1" s="143"/>
      <c r="X1" s="143"/>
      <c r="Y1" s="144"/>
    </row>
    <row r="2" spans="1:25" ht="13.5" customHeight="1">
      <c r="A2" s="25" t="str">
        <f>目次!A2</f>
        <v>章番号</v>
      </c>
      <c r="B2" s="26"/>
      <c r="C2" s="26"/>
      <c r="D2" s="142" t="str">
        <f>目次!D2</f>
        <v>第３章　機能設計</v>
      </c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 t="s">
        <v>5</v>
      </c>
      <c r="U2" s="143"/>
      <c r="V2" s="143">
        <v>42398</v>
      </c>
      <c r="W2" s="143"/>
      <c r="X2" s="143"/>
      <c r="Y2" s="144"/>
    </row>
    <row r="3" spans="1:25" ht="13.5" customHeight="1">
      <c r="A3" s="145" t="str">
        <f>目次!A3</f>
        <v>機能名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 t="s">
        <v>4</v>
      </c>
      <c r="U3" s="146"/>
      <c r="V3" s="146" t="s">
        <v>8</v>
      </c>
      <c r="W3" s="146"/>
      <c r="X3" s="146"/>
      <c r="Y3" s="147"/>
    </row>
    <row r="4" spans="1:25" ht="13.5" customHeight="1">
      <c r="A4" s="148" t="str">
        <f>目次!A4</f>
        <v>３．１．１０　災害一覧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 t="s">
        <v>16</v>
      </c>
      <c r="U4" s="149"/>
      <c r="V4" s="149" t="s">
        <v>231</v>
      </c>
      <c r="W4" s="149"/>
      <c r="X4" s="149"/>
      <c r="Y4" s="150"/>
    </row>
    <row r="5" spans="1:25" ht="13.5" customHeight="1">
      <c r="A5" s="151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 t="s">
        <v>6</v>
      </c>
      <c r="U5" s="152"/>
      <c r="V5" s="152"/>
      <c r="W5" s="152"/>
      <c r="X5" s="152"/>
      <c r="Y5" s="153"/>
    </row>
    <row r="6" spans="1:25" ht="13.5" customHeight="1">
      <c r="A6" s="25" t="s">
        <v>9</v>
      </c>
      <c r="B6" s="26"/>
      <c r="C6" s="26"/>
      <c r="D6" s="182" t="str">
        <f>目次!D8</f>
        <v>３．１．１０．１　災害一覧</v>
      </c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 t="s">
        <v>232</v>
      </c>
      <c r="P6" s="183"/>
      <c r="Q6" s="183"/>
      <c r="R6" s="183"/>
      <c r="S6" s="183"/>
      <c r="T6" s="183"/>
      <c r="U6" s="183"/>
      <c r="V6" s="183"/>
      <c r="W6" s="183"/>
      <c r="X6" s="183"/>
      <c r="Y6" s="184"/>
    </row>
    <row r="7" spans="1:25" ht="13.5" customHeight="1">
      <c r="A7" s="39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1"/>
    </row>
    <row r="8" spans="1:25" ht="13.5" customHeight="1">
      <c r="A8" s="42"/>
      <c r="B8" s="27" t="s">
        <v>122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4"/>
    </row>
    <row r="9" spans="1:25" ht="13.5" customHeight="1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4"/>
    </row>
    <row r="10" spans="1:25" ht="13.5" customHeight="1">
      <c r="A10" s="42"/>
      <c r="B10" s="160" t="s">
        <v>17</v>
      </c>
      <c r="C10" s="45" t="s">
        <v>10</v>
      </c>
      <c r="D10" s="46"/>
      <c r="E10" s="46"/>
      <c r="F10" s="46"/>
      <c r="G10" s="46"/>
      <c r="H10" s="47"/>
      <c r="I10" s="45" t="s">
        <v>3</v>
      </c>
      <c r="J10" s="46"/>
      <c r="K10" s="46"/>
      <c r="L10" s="46"/>
      <c r="M10" s="47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9"/>
      <c r="Y10" s="44"/>
    </row>
    <row r="11" spans="1:25" ht="13.5" customHeight="1">
      <c r="A11" s="42"/>
      <c r="B11" s="161"/>
      <c r="C11" s="45" t="s">
        <v>11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7"/>
      <c r="Y11" s="44"/>
    </row>
    <row r="12" spans="1:25" ht="13.5" customHeight="1">
      <c r="A12" s="42"/>
      <c r="B12" s="39">
        <v>1</v>
      </c>
      <c r="C12" s="50" t="s">
        <v>36</v>
      </c>
      <c r="D12" s="51"/>
      <c r="E12" s="51"/>
      <c r="F12" s="50"/>
      <c r="G12" s="51"/>
      <c r="H12" s="52"/>
      <c r="I12" s="50" t="s">
        <v>37</v>
      </c>
      <c r="J12" s="51"/>
      <c r="K12" s="51"/>
      <c r="L12" s="51"/>
      <c r="M12" s="52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4"/>
      <c r="Y12" s="44"/>
    </row>
    <row r="13" spans="1:25" ht="13.5" customHeight="1">
      <c r="A13" s="42"/>
      <c r="B13" s="42"/>
      <c r="C13" s="39" t="s">
        <v>38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1"/>
      <c r="Y13" s="44"/>
    </row>
    <row r="14" spans="1:25" ht="13.5" customHeight="1">
      <c r="A14" s="42"/>
      <c r="B14" s="42"/>
      <c r="C14" s="42"/>
      <c r="D14" s="55" t="s">
        <v>39</v>
      </c>
      <c r="E14" s="43" t="s">
        <v>47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4"/>
      <c r="Y14" s="44"/>
    </row>
    <row r="15" spans="1:25" ht="13.5" customHeight="1">
      <c r="A15" s="42"/>
      <c r="B15" s="42"/>
      <c r="C15" s="42"/>
      <c r="D15" s="55" t="s">
        <v>40</v>
      </c>
      <c r="E15" s="43" t="s">
        <v>154</v>
      </c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4"/>
      <c r="Y15" s="44"/>
    </row>
    <row r="16" spans="1:25" ht="13.5" customHeight="1">
      <c r="A16" s="42"/>
      <c r="B16" s="42"/>
      <c r="C16" s="42"/>
      <c r="D16" s="55" t="s">
        <v>41</v>
      </c>
      <c r="E16" s="43" t="s">
        <v>48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4"/>
      <c r="Y16" s="44"/>
    </row>
    <row r="17" spans="1:25" ht="13.5" customHeight="1">
      <c r="A17" s="42"/>
      <c r="B17" s="42"/>
      <c r="C17" s="42"/>
      <c r="D17" s="137" t="s">
        <v>322</v>
      </c>
      <c r="E17" s="138" t="s">
        <v>321</v>
      </c>
      <c r="F17" s="139"/>
      <c r="G17" s="139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4"/>
      <c r="Y17" s="44"/>
    </row>
    <row r="18" spans="1:25" ht="13.5" customHeight="1">
      <c r="A18" s="42"/>
      <c r="B18" s="42"/>
      <c r="C18" s="56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8"/>
      <c r="Y18" s="44"/>
    </row>
    <row r="19" spans="1:25" ht="13.5" customHeight="1">
      <c r="A19" s="42"/>
      <c r="B19" s="42"/>
      <c r="C19" s="59" t="s">
        <v>42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1"/>
      <c r="Y19" s="44"/>
    </row>
    <row r="20" spans="1:25" ht="13.5" customHeight="1">
      <c r="A20" s="42"/>
      <c r="B20" s="42"/>
      <c r="C20" s="42"/>
      <c r="D20" s="55" t="s">
        <v>188</v>
      </c>
      <c r="E20" s="43" t="s">
        <v>189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62"/>
      <c r="W20" s="43"/>
      <c r="X20" s="44"/>
      <c r="Y20" s="44"/>
    </row>
    <row r="21" spans="1:25" ht="13.5" customHeight="1">
      <c r="A21" s="42"/>
      <c r="B21" s="42"/>
      <c r="C21" s="42"/>
      <c r="D21" s="55" t="s">
        <v>190</v>
      </c>
      <c r="E21" s="43" t="s">
        <v>223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62"/>
      <c r="W21" s="43"/>
      <c r="X21" s="44"/>
      <c r="Y21" s="44"/>
    </row>
    <row r="22" spans="1:25" ht="13.5" customHeight="1">
      <c r="A22" s="42"/>
      <c r="B22" s="42"/>
      <c r="C22" s="42"/>
      <c r="D22" s="55" t="s">
        <v>289</v>
      </c>
      <c r="E22" s="43" t="s">
        <v>290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62"/>
      <c r="W22" s="43"/>
      <c r="X22" s="44"/>
      <c r="Y22" s="44"/>
    </row>
    <row r="23" spans="1:25" ht="13.5" customHeight="1">
      <c r="A23" s="42"/>
      <c r="B23" s="42"/>
      <c r="C23" s="42"/>
      <c r="D23" s="55"/>
      <c r="E23" s="43"/>
      <c r="F23" s="43" t="s">
        <v>304</v>
      </c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62"/>
      <c r="W23" s="43"/>
      <c r="X23" s="44"/>
      <c r="Y23" s="44"/>
    </row>
    <row r="24" spans="1:25" ht="13.5" customHeight="1">
      <c r="A24" s="42"/>
      <c r="B24" s="42"/>
      <c r="C24" s="42"/>
      <c r="D24" s="55"/>
      <c r="E24" s="43"/>
      <c r="F24" s="43" t="s">
        <v>305</v>
      </c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62"/>
      <c r="W24" s="43"/>
      <c r="X24" s="44"/>
      <c r="Y24" s="44"/>
    </row>
    <row r="25" spans="1:25" ht="13.5" customHeight="1">
      <c r="A25" s="42"/>
      <c r="B25" s="42"/>
      <c r="C25" s="42"/>
      <c r="D25" s="55" t="s">
        <v>291</v>
      </c>
      <c r="E25" s="43" t="s">
        <v>308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62"/>
      <c r="W25" s="43"/>
      <c r="X25" s="44"/>
      <c r="Y25" s="44"/>
    </row>
    <row r="26" spans="1:25" ht="13.5" customHeight="1">
      <c r="A26" s="42"/>
      <c r="B26" s="42"/>
      <c r="C26" s="42"/>
      <c r="D26" s="55"/>
      <c r="E26" s="43"/>
      <c r="F26" s="43" t="s">
        <v>307</v>
      </c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4"/>
      <c r="Y26" s="44"/>
    </row>
    <row r="27" spans="1:25" ht="13.5" customHeight="1">
      <c r="A27" s="42"/>
      <c r="B27" s="42"/>
      <c r="C27" s="42"/>
      <c r="D27" s="55"/>
      <c r="E27" s="43"/>
      <c r="F27" s="63" t="s">
        <v>254</v>
      </c>
      <c r="G27" s="64"/>
      <c r="H27" s="64"/>
      <c r="I27" s="65"/>
      <c r="J27" s="63" t="s">
        <v>255</v>
      </c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6"/>
      <c r="W27" s="67"/>
      <c r="X27" s="44"/>
      <c r="Y27" s="44"/>
    </row>
    <row r="28" spans="1:25" ht="13.5" customHeight="1">
      <c r="A28" s="42"/>
      <c r="B28" s="42"/>
      <c r="C28" s="42"/>
      <c r="D28" s="55"/>
      <c r="E28" s="43"/>
      <c r="F28" s="56" t="s">
        <v>59</v>
      </c>
      <c r="G28" s="68"/>
      <c r="H28" s="68"/>
      <c r="I28" s="69"/>
      <c r="J28" s="56" t="s">
        <v>60</v>
      </c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70"/>
      <c r="W28" s="58"/>
      <c r="X28" s="44"/>
      <c r="Y28" s="44"/>
    </row>
    <row r="29" spans="1:25" ht="13.5" customHeight="1">
      <c r="A29" s="42"/>
      <c r="B29" s="42"/>
      <c r="C29" s="42"/>
      <c r="D29" s="55"/>
      <c r="E29" s="43"/>
      <c r="F29" s="71" t="s">
        <v>61</v>
      </c>
      <c r="G29" s="72"/>
      <c r="H29" s="72"/>
      <c r="I29" s="73"/>
      <c r="J29" s="71" t="s">
        <v>306</v>
      </c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4"/>
      <c r="W29" s="73"/>
      <c r="X29" s="44"/>
      <c r="Y29" s="44"/>
    </row>
    <row r="30" spans="1:25" ht="13.5" customHeight="1">
      <c r="A30" s="42"/>
      <c r="B30" s="42"/>
      <c r="C30" s="42"/>
      <c r="D30" s="55" t="s">
        <v>292</v>
      </c>
      <c r="E30" s="43" t="s">
        <v>309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4"/>
      <c r="Y30" s="44"/>
    </row>
    <row r="31" spans="1:25" ht="13.5" customHeight="1">
      <c r="A31" s="42"/>
      <c r="B31" s="42"/>
      <c r="C31" s="42"/>
      <c r="D31" s="55" t="s">
        <v>293</v>
      </c>
      <c r="E31" s="43" t="s">
        <v>195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4"/>
      <c r="Y31" s="44"/>
    </row>
    <row r="32" spans="1:25" ht="13.5" customHeight="1">
      <c r="A32" s="42"/>
      <c r="B32" s="42"/>
      <c r="C32" s="42"/>
      <c r="D32" s="55"/>
      <c r="E32" s="55"/>
      <c r="F32" s="43" t="s">
        <v>249</v>
      </c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4"/>
      <c r="Y32" s="44"/>
    </row>
    <row r="33" spans="1:25" ht="13.5" customHeight="1">
      <c r="A33" s="42"/>
      <c r="B33" s="42"/>
      <c r="C33" s="42"/>
      <c r="D33" s="55"/>
      <c r="E33" s="55"/>
      <c r="F33" s="75" t="s">
        <v>103</v>
      </c>
      <c r="G33" s="76"/>
      <c r="H33" s="76"/>
      <c r="I33" s="76"/>
      <c r="J33" s="76"/>
      <c r="K33" s="77"/>
      <c r="L33" s="78" t="s">
        <v>250</v>
      </c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9"/>
      <c r="X33" s="44"/>
      <c r="Y33" s="44"/>
    </row>
    <row r="34" spans="1:25" ht="13.5" customHeight="1">
      <c r="A34" s="42"/>
      <c r="B34" s="42"/>
      <c r="C34" s="42"/>
      <c r="D34" s="55"/>
      <c r="E34" s="55"/>
      <c r="F34" s="80" t="s">
        <v>105</v>
      </c>
      <c r="G34" s="81"/>
      <c r="H34" s="81"/>
      <c r="I34" s="81"/>
      <c r="J34" s="81"/>
      <c r="K34" s="72"/>
      <c r="L34" s="71" t="s">
        <v>252</v>
      </c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3"/>
      <c r="X34" s="44"/>
      <c r="Y34" s="44"/>
    </row>
    <row r="35" spans="1:25" ht="13.5" customHeight="1">
      <c r="A35" s="42"/>
      <c r="B35" s="42"/>
      <c r="C35" s="42"/>
      <c r="D35" s="55"/>
      <c r="E35" s="43"/>
      <c r="F35" s="43" t="s">
        <v>43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4"/>
      <c r="Y35" s="44"/>
    </row>
    <row r="36" spans="1:25" ht="13.5" customHeight="1">
      <c r="A36" s="42"/>
      <c r="B36" s="42"/>
      <c r="C36" s="42"/>
      <c r="D36" s="55"/>
      <c r="E36" s="43"/>
      <c r="F36" s="43"/>
      <c r="G36" s="43" t="s">
        <v>44</v>
      </c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4"/>
      <c r="Y36" s="44"/>
    </row>
    <row r="37" spans="1:25" ht="13.5" customHeight="1">
      <c r="A37" s="42"/>
      <c r="B37" s="42"/>
      <c r="C37" s="42"/>
      <c r="D37" s="55" t="s">
        <v>294</v>
      </c>
      <c r="E37" s="43" t="s">
        <v>45</v>
      </c>
      <c r="F37" s="82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4"/>
      <c r="Y37" s="44"/>
    </row>
    <row r="38" spans="1:25" ht="13.5" customHeight="1">
      <c r="A38" s="42"/>
      <c r="B38" s="42"/>
      <c r="C38" s="42"/>
      <c r="D38" s="55"/>
      <c r="E38" s="43"/>
      <c r="F38" s="43" t="s">
        <v>46</v>
      </c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4"/>
      <c r="Y38" s="44"/>
    </row>
    <row r="39" spans="1:25" ht="13.5" customHeight="1">
      <c r="A39" s="42"/>
      <c r="B39" s="42"/>
      <c r="C39" s="42"/>
      <c r="D39" s="55"/>
      <c r="E39" s="43"/>
      <c r="F39" s="43" t="s">
        <v>251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4"/>
      <c r="Y39" s="44"/>
    </row>
    <row r="40" spans="1:25" ht="13.5" customHeight="1">
      <c r="A40" s="42"/>
      <c r="B40" s="42"/>
      <c r="C40" s="56"/>
      <c r="D40" s="70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70"/>
      <c r="V40" s="57"/>
      <c r="W40" s="57"/>
      <c r="X40" s="58"/>
      <c r="Y40" s="44"/>
    </row>
    <row r="41" spans="1:25" ht="13.5" customHeight="1">
      <c r="A41" s="42"/>
      <c r="B41" s="39">
        <v>2</v>
      </c>
      <c r="C41" s="50" t="s">
        <v>49</v>
      </c>
      <c r="D41" s="51"/>
      <c r="E41" s="51"/>
      <c r="F41" s="51"/>
      <c r="G41" s="51"/>
      <c r="H41" s="52"/>
      <c r="I41" s="50" t="s">
        <v>19</v>
      </c>
      <c r="J41" s="51"/>
      <c r="K41" s="51"/>
      <c r="L41" s="51"/>
      <c r="M41" s="52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4"/>
      <c r="Y41" s="44"/>
    </row>
    <row r="42" spans="1:25" ht="13.5" customHeight="1">
      <c r="A42" s="42"/>
      <c r="B42" s="42"/>
      <c r="C42" s="39" t="s">
        <v>50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1"/>
      <c r="Y42" s="44"/>
    </row>
    <row r="43" spans="1:25" ht="13.5" customHeight="1">
      <c r="A43" s="42"/>
      <c r="B43" s="42"/>
      <c r="C43" s="42"/>
      <c r="D43" s="55" t="s">
        <v>51</v>
      </c>
      <c r="E43" s="43" t="s">
        <v>52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4"/>
      <c r="Y43" s="44"/>
    </row>
    <row r="44" spans="1:25" ht="13.5" customHeight="1">
      <c r="A44" s="42"/>
      <c r="B44" s="42"/>
      <c r="C44" s="56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8"/>
      <c r="Y44" s="44"/>
    </row>
    <row r="45" spans="1:25" ht="13.5" customHeight="1">
      <c r="A45" s="42"/>
      <c r="B45" s="42"/>
      <c r="C45" s="59" t="s">
        <v>53</v>
      </c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1"/>
      <c r="Y45" s="44"/>
    </row>
    <row r="46" spans="1:25" ht="13.5" customHeight="1">
      <c r="A46" s="42"/>
      <c r="B46" s="42"/>
      <c r="C46" s="42"/>
      <c r="D46" s="55" t="s">
        <v>54</v>
      </c>
      <c r="E46" s="43" t="s">
        <v>55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4"/>
      <c r="Y46" s="44"/>
    </row>
    <row r="47" spans="1:25" ht="13.5" customHeight="1">
      <c r="A47" s="42"/>
      <c r="B47" s="42"/>
      <c r="C47" s="42"/>
      <c r="D47" s="55"/>
      <c r="E47" s="43"/>
      <c r="F47" s="43" t="s">
        <v>153</v>
      </c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4"/>
      <c r="Y47" s="44"/>
    </row>
    <row r="48" spans="1:25" ht="13.5" customHeight="1">
      <c r="A48" s="42"/>
      <c r="B48" s="42"/>
      <c r="C48" s="42"/>
      <c r="D48" s="55"/>
      <c r="E48" s="43"/>
      <c r="F48" s="43" t="s">
        <v>57</v>
      </c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4"/>
      <c r="Y48" s="44"/>
    </row>
    <row r="49" spans="1:25" ht="13.5" customHeight="1">
      <c r="A49" s="42"/>
      <c r="B49" s="42"/>
      <c r="C49" s="42"/>
      <c r="D49" s="55" t="s">
        <v>56</v>
      </c>
      <c r="E49" s="43" t="s">
        <v>201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4"/>
      <c r="Y49" s="44"/>
    </row>
    <row r="50" spans="1:25" ht="13.5" customHeight="1">
      <c r="A50" s="42"/>
      <c r="B50" s="42"/>
      <c r="C50" s="42"/>
      <c r="D50" s="55"/>
      <c r="E50" s="43"/>
      <c r="F50" s="43" t="s">
        <v>206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4"/>
      <c r="Y50" s="44"/>
    </row>
    <row r="51" spans="1:25" ht="13.5" customHeight="1">
      <c r="A51" s="42"/>
      <c r="B51" s="42"/>
      <c r="C51" s="42"/>
      <c r="D51" s="55"/>
      <c r="E51" s="43"/>
      <c r="F51" s="43" t="s">
        <v>57</v>
      </c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4"/>
      <c r="Y51" s="44"/>
    </row>
    <row r="52" spans="1:25" ht="13.5" customHeight="1">
      <c r="A52" s="42"/>
      <c r="B52" s="42"/>
      <c r="C52" s="42"/>
      <c r="D52" s="55" t="s">
        <v>58</v>
      </c>
      <c r="E52" s="43" t="s">
        <v>203</v>
      </c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4"/>
      <c r="Y52" s="44"/>
    </row>
    <row r="53" spans="1:25" ht="13.5" customHeight="1">
      <c r="A53" s="42"/>
      <c r="B53" s="42"/>
      <c r="C53" s="42"/>
      <c r="D53" s="55"/>
      <c r="E53" s="43"/>
      <c r="F53" s="43" t="s">
        <v>207</v>
      </c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4"/>
      <c r="Y53" s="44"/>
    </row>
    <row r="54" spans="1:25" ht="13.5" customHeight="1">
      <c r="A54" s="42"/>
      <c r="B54" s="42"/>
      <c r="C54" s="42"/>
      <c r="D54" s="55"/>
      <c r="E54" s="43"/>
      <c r="F54" s="43" t="s">
        <v>57</v>
      </c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4"/>
      <c r="Y54" s="44"/>
    </row>
    <row r="55" spans="1:25" ht="13.5" customHeight="1">
      <c r="A55" s="42"/>
      <c r="B55" s="83"/>
      <c r="C55" s="84"/>
      <c r="D55" s="85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5"/>
      <c r="V55" s="86"/>
      <c r="W55" s="86"/>
      <c r="X55" s="87"/>
      <c r="Y55" s="44"/>
    </row>
    <row r="56" spans="1:25" ht="13.5" customHeight="1">
      <c r="A56" s="42"/>
      <c r="B56" s="43"/>
      <c r="C56" s="43"/>
      <c r="D56" s="62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62"/>
      <c r="V56" s="43"/>
      <c r="W56" s="43"/>
      <c r="X56" s="43"/>
      <c r="Y56" s="44"/>
    </row>
    <row r="57" spans="1:25" ht="13.5" customHeight="1">
      <c r="A57" s="42"/>
      <c r="B57" s="43"/>
      <c r="C57" s="43"/>
      <c r="D57" s="62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62"/>
      <c r="V57" s="43"/>
      <c r="W57" s="43"/>
      <c r="X57" s="43"/>
      <c r="Y57" s="44"/>
    </row>
    <row r="58" spans="1:25" ht="13.5" customHeight="1">
      <c r="A58" s="42"/>
      <c r="B58" s="43"/>
      <c r="C58" s="43"/>
      <c r="D58" s="62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62"/>
      <c r="V58" s="43"/>
      <c r="W58" s="43"/>
      <c r="X58" s="43"/>
      <c r="Y58" s="44"/>
    </row>
    <row r="59" spans="1:25" ht="13.5" customHeight="1">
      <c r="A59" s="88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90"/>
    </row>
    <row r="60" spans="1:25" ht="13.5" customHeight="1">
      <c r="A60" s="91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3"/>
    </row>
    <row r="61" spans="1:25" ht="13.5" customHeight="1">
      <c r="A61" s="42"/>
      <c r="B61" s="27" t="s">
        <v>123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4"/>
    </row>
    <row r="62" spans="1:25" ht="13.5" customHeight="1">
      <c r="A62" s="42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4"/>
    </row>
    <row r="63" spans="1:25" ht="13.5" customHeight="1">
      <c r="A63" s="42"/>
      <c r="B63" s="160" t="s">
        <v>69</v>
      </c>
      <c r="C63" s="45" t="s">
        <v>10</v>
      </c>
      <c r="D63" s="46"/>
      <c r="E63" s="46"/>
      <c r="F63" s="46"/>
      <c r="G63" s="46"/>
      <c r="H63" s="47"/>
      <c r="I63" s="45" t="s">
        <v>70</v>
      </c>
      <c r="J63" s="46"/>
      <c r="K63" s="46"/>
      <c r="L63" s="46"/>
      <c r="M63" s="47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9"/>
      <c r="Y63" s="44"/>
    </row>
    <row r="64" spans="1:25" ht="13.5" customHeight="1">
      <c r="A64" s="42"/>
      <c r="B64" s="161"/>
      <c r="C64" s="45" t="s">
        <v>11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7"/>
      <c r="Y64" s="44"/>
    </row>
    <row r="65" spans="1:25" ht="13.5" customHeight="1">
      <c r="A65" s="42"/>
      <c r="B65" s="42">
        <v>2</v>
      </c>
      <c r="C65" s="42"/>
      <c r="D65" s="55" t="s">
        <v>152</v>
      </c>
      <c r="E65" s="43" t="s">
        <v>310</v>
      </c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62"/>
      <c r="W65" s="43"/>
      <c r="X65" s="44"/>
      <c r="Y65" s="44"/>
    </row>
    <row r="66" spans="1:25" ht="13.5" customHeight="1">
      <c r="A66" s="42"/>
      <c r="B66" s="42"/>
      <c r="C66" s="42"/>
      <c r="D66" s="55"/>
      <c r="E66" s="43"/>
      <c r="F66" s="43" t="s">
        <v>253</v>
      </c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4"/>
      <c r="Y66" s="44"/>
    </row>
    <row r="67" spans="1:25" ht="13.5" customHeight="1">
      <c r="A67" s="42"/>
      <c r="B67" s="42"/>
      <c r="C67" s="42"/>
      <c r="D67" s="55"/>
      <c r="E67" s="43"/>
      <c r="F67" s="63" t="s">
        <v>254</v>
      </c>
      <c r="G67" s="64"/>
      <c r="H67" s="64"/>
      <c r="I67" s="65"/>
      <c r="J67" s="63" t="s">
        <v>255</v>
      </c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6"/>
      <c r="W67" s="67"/>
      <c r="X67" s="44"/>
      <c r="Y67" s="44"/>
    </row>
    <row r="68" spans="1:25" ht="13.5" customHeight="1">
      <c r="A68" s="42"/>
      <c r="B68" s="42"/>
      <c r="C68" s="42"/>
      <c r="D68" s="55"/>
      <c r="E68" s="43"/>
      <c r="F68" s="56" t="s">
        <v>59</v>
      </c>
      <c r="G68" s="68"/>
      <c r="H68" s="68"/>
      <c r="I68" s="69"/>
      <c r="J68" s="56" t="s">
        <v>60</v>
      </c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70"/>
      <c r="W68" s="58"/>
      <c r="X68" s="44"/>
      <c r="Y68" s="44"/>
    </row>
    <row r="69" spans="1:25" ht="13.5" customHeight="1">
      <c r="A69" s="42"/>
      <c r="B69" s="42"/>
      <c r="C69" s="42"/>
      <c r="D69" s="55"/>
      <c r="E69" s="43"/>
      <c r="F69" s="71" t="s">
        <v>61</v>
      </c>
      <c r="G69" s="72"/>
      <c r="H69" s="72"/>
      <c r="I69" s="73"/>
      <c r="J69" s="71" t="s">
        <v>306</v>
      </c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4"/>
      <c r="W69" s="73"/>
      <c r="X69" s="44"/>
      <c r="Y69" s="44"/>
    </row>
    <row r="70" spans="1:25" ht="13.5" customHeight="1">
      <c r="A70" s="42"/>
      <c r="B70" s="42"/>
      <c r="C70" s="42"/>
      <c r="D70" s="55" t="s">
        <v>186</v>
      </c>
      <c r="E70" s="43" t="s">
        <v>309</v>
      </c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4"/>
      <c r="Y70" s="44"/>
    </row>
    <row r="71" spans="1:25" ht="13.5" customHeight="1">
      <c r="A71" s="42"/>
      <c r="B71" s="42"/>
      <c r="C71" s="42"/>
      <c r="D71" s="55" t="s">
        <v>187</v>
      </c>
      <c r="E71" s="43" t="s">
        <v>195</v>
      </c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4"/>
      <c r="Y71" s="44"/>
    </row>
    <row r="72" spans="1:25" ht="13.5" customHeight="1">
      <c r="A72" s="42"/>
      <c r="B72" s="42"/>
      <c r="C72" s="42"/>
      <c r="D72" s="55"/>
      <c r="E72" s="55"/>
      <c r="F72" s="43" t="s">
        <v>249</v>
      </c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4"/>
      <c r="Y72" s="44"/>
    </row>
    <row r="73" spans="1:25" ht="13.5" customHeight="1">
      <c r="A73" s="42"/>
      <c r="B73" s="42"/>
      <c r="C73" s="42"/>
      <c r="D73" s="55"/>
      <c r="E73" s="55"/>
      <c r="F73" s="75" t="s">
        <v>103</v>
      </c>
      <c r="G73" s="76"/>
      <c r="H73" s="76"/>
      <c r="I73" s="76"/>
      <c r="J73" s="76"/>
      <c r="K73" s="77"/>
      <c r="L73" s="78" t="s">
        <v>250</v>
      </c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9"/>
      <c r="X73" s="44"/>
      <c r="Y73" s="44"/>
    </row>
    <row r="74" spans="1:25" ht="13.5" customHeight="1">
      <c r="A74" s="42"/>
      <c r="B74" s="42"/>
      <c r="C74" s="42"/>
      <c r="D74" s="55"/>
      <c r="E74" s="55"/>
      <c r="F74" s="80" t="s">
        <v>105</v>
      </c>
      <c r="G74" s="81"/>
      <c r="H74" s="81"/>
      <c r="I74" s="81"/>
      <c r="J74" s="81"/>
      <c r="K74" s="72"/>
      <c r="L74" s="71" t="s">
        <v>252</v>
      </c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3"/>
      <c r="X74" s="44"/>
      <c r="Y74" s="44"/>
    </row>
    <row r="75" spans="1:25" ht="13.5" customHeight="1">
      <c r="A75" s="42"/>
      <c r="B75" s="42"/>
      <c r="C75" s="42"/>
      <c r="D75" s="55"/>
      <c r="E75" s="43"/>
      <c r="F75" s="43" t="s">
        <v>43</v>
      </c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4"/>
      <c r="Y75" s="44"/>
    </row>
    <row r="76" spans="1:25" ht="13.5" customHeight="1">
      <c r="A76" s="42"/>
      <c r="B76" s="42"/>
      <c r="C76" s="42"/>
      <c r="D76" s="55"/>
      <c r="E76" s="43"/>
      <c r="F76" s="43"/>
      <c r="G76" s="43" t="s">
        <v>44</v>
      </c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4"/>
      <c r="Y76" s="44"/>
    </row>
    <row r="77" spans="1:25" ht="13.5" customHeight="1">
      <c r="A77" s="42"/>
      <c r="B77" s="42"/>
      <c r="C77" s="42"/>
      <c r="D77" s="55" t="s">
        <v>256</v>
      </c>
      <c r="E77" s="43" t="s">
        <v>45</v>
      </c>
      <c r="F77" s="82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4"/>
      <c r="Y77" s="44"/>
    </row>
    <row r="78" spans="1:25" ht="13.5" customHeight="1">
      <c r="A78" s="42"/>
      <c r="B78" s="42"/>
      <c r="C78" s="42"/>
      <c r="D78" s="55"/>
      <c r="E78" s="43"/>
      <c r="F78" s="43" t="s">
        <v>46</v>
      </c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4"/>
      <c r="Y78" s="44"/>
    </row>
    <row r="79" spans="1:25" ht="13.5" customHeight="1">
      <c r="A79" s="42"/>
      <c r="B79" s="42"/>
      <c r="C79" s="42"/>
      <c r="D79" s="55"/>
      <c r="E79" s="43"/>
      <c r="F79" s="43" t="s">
        <v>251</v>
      </c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4"/>
      <c r="Y79" s="44"/>
    </row>
    <row r="80" spans="1:25" ht="13.5" customHeight="1">
      <c r="A80" s="42"/>
      <c r="B80" s="83"/>
      <c r="C80" s="84"/>
      <c r="D80" s="85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5"/>
      <c r="V80" s="86"/>
      <c r="W80" s="86"/>
      <c r="X80" s="87"/>
      <c r="Y80" s="44"/>
    </row>
    <row r="81" spans="1:25" ht="13.5" customHeight="1">
      <c r="A81" s="42"/>
      <c r="B81" s="39">
        <v>3</v>
      </c>
      <c r="C81" s="50" t="s">
        <v>62</v>
      </c>
      <c r="D81" s="51"/>
      <c r="E81" s="51"/>
      <c r="F81" s="50"/>
      <c r="G81" s="51"/>
      <c r="H81" s="52"/>
      <c r="I81" s="50" t="s">
        <v>19</v>
      </c>
      <c r="J81" s="51"/>
      <c r="K81" s="51"/>
      <c r="L81" s="51"/>
      <c r="M81" s="52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4"/>
      <c r="Y81" s="44"/>
    </row>
    <row r="82" spans="1:25" ht="13.5" customHeight="1">
      <c r="A82" s="42"/>
      <c r="B82" s="42"/>
      <c r="C82" s="39" t="s">
        <v>63</v>
      </c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1"/>
      <c r="Y82" s="44"/>
    </row>
    <row r="83" spans="1:25" ht="13.5" customHeight="1">
      <c r="A83" s="42"/>
      <c r="B83" s="42"/>
      <c r="C83" s="42"/>
      <c r="D83" s="55" t="s">
        <v>64</v>
      </c>
      <c r="E83" s="43" t="s">
        <v>65</v>
      </c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4"/>
      <c r="Y83" s="44"/>
    </row>
    <row r="84" spans="1:25" ht="13.5" customHeight="1">
      <c r="A84" s="42"/>
      <c r="B84" s="42"/>
      <c r="C84" s="56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8"/>
      <c r="Y84" s="44"/>
    </row>
    <row r="85" spans="1:25" ht="13.5" customHeight="1">
      <c r="A85" s="42"/>
      <c r="B85" s="42"/>
      <c r="C85" s="42" t="s">
        <v>66</v>
      </c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62"/>
      <c r="V85" s="43"/>
      <c r="W85" s="43"/>
      <c r="X85" s="44"/>
      <c r="Y85" s="44"/>
    </row>
    <row r="86" spans="1:25" ht="13.5" customHeight="1">
      <c r="A86" s="42"/>
      <c r="B86" s="42"/>
      <c r="C86" s="42"/>
      <c r="D86" s="55" t="s">
        <v>67</v>
      </c>
      <c r="E86" s="43" t="s">
        <v>68</v>
      </c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62"/>
      <c r="V86" s="43"/>
      <c r="W86" s="43"/>
      <c r="X86" s="44"/>
      <c r="Y86" s="44"/>
    </row>
    <row r="87" spans="1:25" ht="13.5" customHeight="1">
      <c r="A87" s="42"/>
      <c r="B87" s="42"/>
      <c r="C87" s="42"/>
      <c r="D87" s="55" t="s">
        <v>257</v>
      </c>
      <c r="E87" s="43" t="s">
        <v>223</v>
      </c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62"/>
      <c r="W87" s="43"/>
      <c r="X87" s="44"/>
      <c r="Y87" s="44"/>
    </row>
    <row r="88" spans="1:25" ht="13.5" customHeight="1">
      <c r="A88" s="42"/>
      <c r="B88" s="84"/>
      <c r="C88" s="84"/>
      <c r="D88" s="85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7"/>
      <c r="Y88" s="44"/>
    </row>
    <row r="89" spans="1:25" ht="13.5" customHeight="1">
      <c r="A89" s="42"/>
      <c r="B89" s="39">
        <v>4</v>
      </c>
      <c r="C89" s="50" t="s">
        <v>108</v>
      </c>
      <c r="D89" s="51"/>
      <c r="E89" s="51"/>
      <c r="F89" s="50"/>
      <c r="G89" s="51"/>
      <c r="H89" s="52"/>
      <c r="I89" s="50" t="s">
        <v>19</v>
      </c>
      <c r="J89" s="51"/>
      <c r="K89" s="51"/>
      <c r="L89" s="51"/>
      <c r="M89" s="52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4"/>
      <c r="Y89" s="44"/>
    </row>
    <row r="90" spans="1:25" ht="13.5" customHeight="1">
      <c r="A90" s="42"/>
      <c r="B90" s="42"/>
      <c r="C90" s="39" t="s">
        <v>71</v>
      </c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1"/>
      <c r="Y90" s="44"/>
    </row>
    <row r="91" spans="1:25" ht="13.5" customHeight="1">
      <c r="A91" s="42"/>
      <c r="B91" s="42"/>
      <c r="C91" s="42"/>
      <c r="D91" s="55" t="s">
        <v>72</v>
      </c>
      <c r="E91" s="43" t="s">
        <v>109</v>
      </c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4"/>
      <c r="Y91" s="44"/>
    </row>
    <row r="92" spans="1:25" ht="13.5" customHeight="1">
      <c r="A92" s="42"/>
      <c r="B92" s="42"/>
      <c r="C92" s="56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8"/>
      <c r="Y92" s="44"/>
    </row>
    <row r="93" spans="1:25" ht="13.5" customHeight="1">
      <c r="A93" s="42"/>
      <c r="B93" s="42"/>
      <c r="C93" s="42" t="s">
        <v>73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62"/>
      <c r="V93" s="43"/>
      <c r="W93" s="43"/>
      <c r="X93" s="44"/>
      <c r="Y93" s="44"/>
    </row>
    <row r="94" spans="1:25" ht="13.5" customHeight="1">
      <c r="A94" s="42"/>
      <c r="B94" s="42"/>
      <c r="C94" s="42"/>
      <c r="D94" s="55" t="s">
        <v>74</v>
      </c>
      <c r="E94" s="43" t="s">
        <v>110</v>
      </c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62"/>
      <c r="V94" s="43"/>
      <c r="W94" s="43"/>
      <c r="X94" s="44"/>
      <c r="Y94" s="44"/>
    </row>
    <row r="95" spans="1:25" ht="13.5" customHeight="1">
      <c r="A95" s="94"/>
      <c r="B95" s="84"/>
      <c r="C95" s="84"/>
      <c r="D95" s="85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7"/>
      <c r="Y95" s="44"/>
    </row>
    <row r="96" spans="1:25" ht="13.5" customHeight="1">
      <c r="A96" s="42"/>
      <c r="B96" s="39">
        <v>5</v>
      </c>
      <c r="C96" s="50" t="s">
        <v>258</v>
      </c>
      <c r="D96" s="51"/>
      <c r="E96" s="51"/>
      <c r="F96" s="50"/>
      <c r="G96" s="51"/>
      <c r="H96" s="52"/>
      <c r="I96" s="50" t="s">
        <v>75</v>
      </c>
      <c r="J96" s="51"/>
      <c r="K96" s="51"/>
      <c r="L96" s="51"/>
      <c r="M96" s="52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4"/>
      <c r="Y96" s="44"/>
    </row>
    <row r="97" spans="1:25" ht="13.5" customHeight="1">
      <c r="A97" s="42"/>
      <c r="B97" s="42"/>
      <c r="C97" s="39" t="s">
        <v>76</v>
      </c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1"/>
      <c r="Y97" s="44"/>
    </row>
    <row r="98" spans="1:25" ht="13.5" customHeight="1">
      <c r="A98" s="42"/>
      <c r="B98" s="42"/>
      <c r="C98" s="42"/>
      <c r="D98" s="55" t="s">
        <v>77</v>
      </c>
      <c r="E98" s="43" t="s">
        <v>259</v>
      </c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4"/>
      <c r="Y98" s="44"/>
    </row>
    <row r="99" spans="1:25" ht="13.5" customHeight="1">
      <c r="A99" s="42"/>
      <c r="B99" s="42"/>
      <c r="C99" s="56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8"/>
      <c r="Y99" s="44"/>
    </row>
    <row r="100" spans="1:25" ht="13.5" customHeight="1">
      <c r="A100" s="42"/>
      <c r="B100" s="42"/>
      <c r="C100" s="42" t="s">
        <v>78</v>
      </c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62"/>
      <c r="V100" s="43"/>
      <c r="W100" s="43"/>
      <c r="X100" s="44"/>
      <c r="Y100" s="44"/>
    </row>
    <row r="101" spans="1:25" ht="13.5" customHeight="1">
      <c r="A101" s="42"/>
      <c r="B101" s="42"/>
      <c r="C101" s="42"/>
      <c r="D101" s="55" t="s">
        <v>79</v>
      </c>
      <c r="E101" s="43" t="s">
        <v>260</v>
      </c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62"/>
      <c r="V101" s="43"/>
      <c r="W101" s="43"/>
      <c r="X101" s="44"/>
      <c r="Y101" s="44"/>
    </row>
    <row r="102" spans="1:25" ht="13.5" customHeight="1">
      <c r="A102" s="42"/>
      <c r="B102" s="84"/>
      <c r="C102" s="84"/>
      <c r="D102" s="85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7"/>
      <c r="Y102" s="44"/>
    </row>
    <row r="103" spans="1:25" ht="13.5" customHeight="1">
      <c r="A103" s="42"/>
      <c r="B103" s="39">
        <v>6</v>
      </c>
      <c r="C103" s="50" t="s">
        <v>80</v>
      </c>
      <c r="D103" s="51"/>
      <c r="E103" s="51"/>
      <c r="F103" s="50"/>
      <c r="G103" s="51"/>
      <c r="H103" s="52"/>
      <c r="I103" s="50" t="s">
        <v>81</v>
      </c>
      <c r="J103" s="51"/>
      <c r="K103" s="51"/>
      <c r="L103" s="51"/>
      <c r="M103" s="52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4"/>
      <c r="Y103" s="44"/>
    </row>
    <row r="104" spans="1:25" ht="13.5" customHeight="1">
      <c r="A104" s="42"/>
      <c r="B104" s="42"/>
      <c r="C104" s="39" t="s">
        <v>82</v>
      </c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1"/>
      <c r="Y104" s="44"/>
    </row>
    <row r="105" spans="1:25" ht="13.5" customHeight="1">
      <c r="A105" s="42"/>
      <c r="B105" s="42"/>
      <c r="C105" s="42"/>
      <c r="D105" s="55" t="s">
        <v>83</v>
      </c>
      <c r="E105" s="43" t="s">
        <v>84</v>
      </c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4"/>
      <c r="Y105" s="44"/>
    </row>
    <row r="106" spans="1:25" ht="13.5" customHeight="1">
      <c r="A106" s="42"/>
      <c r="B106" s="42"/>
      <c r="C106" s="56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8"/>
      <c r="Y106" s="44"/>
    </row>
    <row r="107" spans="1:25" ht="13.5" customHeight="1">
      <c r="A107" s="42"/>
      <c r="B107" s="42"/>
      <c r="C107" s="42" t="s">
        <v>191</v>
      </c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62"/>
      <c r="V107" s="43"/>
      <c r="W107" s="43"/>
      <c r="X107" s="44"/>
      <c r="Y107" s="44"/>
    </row>
    <row r="108" spans="1:25" ht="13.5" customHeight="1">
      <c r="A108" s="42"/>
      <c r="B108" s="42"/>
      <c r="C108" s="42"/>
      <c r="D108" s="55" t="s">
        <v>85</v>
      </c>
      <c r="E108" s="43" t="s">
        <v>183</v>
      </c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62"/>
      <c r="V108" s="62"/>
      <c r="W108" s="43"/>
      <c r="X108" s="44"/>
      <c r="Y108" s="44"/>
    </row>
    <row r="109" spans="1:25" ht="13.5" customHeight="1">
      <c r="A109" s="42"/>
      <c r="B109" s="84"/>
      <c r="C109" s="84"/>
      <c r="D109" s="85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7"/>
      <c r="Y109" s="44"/>
    </row>
    <row r="110" spans="1:25" ht="13.5" customHeight="1">
      <c r="A110" s="42"/>
      <c r="B110" s="40"/>
      <c r="C110" s="40"/>
      <c r="D110" s="95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4"/>
    </row>
    <row r="111" spans="1:25" ht="13.5" customHeight="1">
      <c r="A111" s="84"/>
      <c r="B111" s="86"/>
      <c r="C111" s="86"/>
      <c r="D111" s="85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7"/>
    </row>
    <row r="112" spans="1:25" ht="13.5" customHeight="1">
      <c r="A112" s="39"/>
      <c r="B112" s="40"/>
      <c r="C112" s="40"/>
      <c r="D112" s="95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1"/>
    </row>
    <row r="113" spans="1:25" ht="13.5" customHeight="1">
      <c r="A113" s="42"/>
      <c r="B113" s="27" t="s">
        <v>121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44"/>
    </row>
    <row r="114" spans="1:25" ht="13.5" customHeight="1">
      <c r="A114" s="42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44"/>
    </row>
    <row r="115" spans="1:25" ht="13.5" customHeight="1">
      <c r="A115" s="42"/>
      <c r="B115" s="160" t="s">
        <v>69</v>
      </c>
      <c r="C115" s="45" t="s">
        <v>10</v>
      </c>
      <c r="D115" s="46"/>
      <c r="E115" s="46"/>
      <c r="F115" s="46"/>
      <c r="G115" s="46"/>
      <c r="H115" s="47"/>
      <c r="I115" s="45" t="s">
        <v>70</v>
      </c>
      <c r="J115" s="46"/>
      <c r="K115" s="46"/>
      <c r="L115" s="46"/>
      <c r="M115" s="47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9"/>
      <c r="Y115" s="44"/>
    </row>
    <row r="116" spans="1:25" ht="13.5" customHeight="1">
      <c r="A116" s="42"/>
      <c r="B116" s="161"/>
      <c r="C116" s="45" t="s">
        <v>11</v>
      </c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7"/>
      <c r="Y116" s="44"/>
    </row>
    <row r="117" spans="1:25" ht="13.5" customHeight="1">
      <c r="A117" s="42"/>
      <c r="B117" s="39">
        <v>7</v>
      </c>
      <c r="C117" s="50" t="s">
        <v>86</v>
      </c>
      <c r="D117" s="51"/>
      <c r="E117" s="51"/>
      <c r="F117" s="50"/>
      <c r="G117" s="51"/>
      <c r="H117" s="52"/>
      <c r="I117" s="50" t="s">
        <v>87</v>
      </c>
      <c r="J117" s="51"/>
      <c r="K117" s="51"/>
      <c r="L117" s="51"/>
      <c r="M117" s="52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4"/>
      <c r="Y117" s="44"/>
    </row>
    <row r="118" spans="1:25" ht="13.5" customHeight="1">
      <c r="A118" s="42"/>
      <c r="B118" s="42"/>
      <c r="C118" s="39" t="s">
        <v>88</v>
      </c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1"/>
      <c r="Y118" s="44"/>
    </row>
    <row r="119" spans="1:25" ht="13.5" customHeight="1">
      <c r="A119" s="42"/>
      <c r="B119" s="42"/>
      <c r="C119" s="42"/>
      <c r="D119" s="55" t="s">
        <v>89</v>
      </c>
      <c r="E119" s="43" t="s">
        <v>90</v>
      </c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4"/>
      <c r="Y119" s="44"/>
    </row>
    <row r="120" spans="1:25" ht="13.5" customHeight="1">
      <c r="A120" s="42"/>
      <c r="B120" s="42"/>
      <c r="C120" s="42"/>
      <c r="D120" s="55" t="s">
        <v>91</v>
      </c>
      <c r="E120" s="43" t="s">
        <v>92</v>
      </c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4"/>
      <c r="Y120" s="44"/>
    </row>
    <row r="121" spans="1:25" ht="13.5" customHeight="1">
      <c r="A121" s="42"/>
      <c r="B121" s="42"/>
      <c r="C121" s="56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8"/>
      <c r="Y121" s="44"/>
    </row>
    <row r="122" spans="1:25" ht="13.5" customHeight="1">
      <c r="A122" s="42"/>
      <c r="B122" s="42"/>
      <c r="C122" s="42" t="s">
        <v>111</v>
      </c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62"/>
      <c r="V122" s="43"/>
      <c r="W122" s="43"/>
      <c r="X122" s="44"/>
      <c r="Y122" s="44"/>
    </row>
    <row r="123" spans="1:25" ht="13.5" customHeight="1">
      <c r="A123" s="42"/>
      <c r="B123" s="42"/>
      <c r="C123" s="42"/>
      <c r="D123" s="55" t="s">
        <v>93</v>
      </c>
      <c r="E123" s="43" t="s">
        <v>112</v>
      </c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62"/>
      <c r="V123" s="62"/>
      <c r="W123" s="43"/>
      <c r="X123" s="44"/>
      <c r="Y123" s="44"/>
    </row>
    <row r="124" spans="1:25" ht="13.5" customHeight="1">
      <c r="A124" s="42"/>
      <c r="B124" s="42"/>
      <c r="C124" s="42"/>
      <c r="D124" s="55" t="s">
        <v>94</v>
      </c>
      <c r="E124" s="43" t="s">
        <v>95</v>
      </c>
      <c r="F124" s="82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4"/>
      <c r="Y124" s="44"/>
    </row>
    <row r="125" spans="1:25" ht="13.5" customHeight="1">
      <c r="A125" s="42"/>
      <c r="B125" s="42"/>
      <c r="C125" s="42"/>
      <c r="D125" s="55"/>
      <c r="E125" s="43" t="s">
        <v>96</v>
      </c>
      <c r="F125" s="82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4"/>
      <c r="Y125" s="44"/>
    </row>
    <row r="126" spans="1:25" ht="13.5" customHeight="1">
      <c r="A126" s="42"/>
      <c r="B126" s="84"/>
      <c r="C126" s="84"/>
      <c r="D126" s="85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7"/>
      <c r="Y126" s="44"/>
    </row>
    <row r="127" spans="1:25" ht="13.5" customHeight="1">
      <c r="A127" s="42"/>
      <c r="B127" s="39">
        <v>8</v>
      </c>
      <c r="C127" s="50" t="s">
        <v>97</v>
      </c>
      <c r="D127" s="51"/>
      <c r="E127" s="51"/>
      <c r="F127" s="50"/>
      <c r="G127" s="51"/>
      <c r="H127" s="52"/>
      <c r="I127" s="50" t="s">
        <v>87</v>
      </c>
      <c r="J127" s="51"/>
      <c r="K127" s="51"/>
      <c r="L127" s="51"/>
      <c r="M127" s="52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4"/>
      <c r="Y127" s="44"/>
    </row>
    <row r="128" spans="1:25" ht="13.5" customHeight="1">
      <c r="A128" s="42"/>
      <c r="B128" s="42"/>
      <c r="C128" s="39" t="s">
        <v>98</v>
      </c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1"/>
      <c r="Y128" s="44"/>
    </row>
    <row r="129" spans="1:25" ht="13.5" customHeight="1">
      <c r="A129" s="42"/>
      <c r="B129" s="42"/>
      <c r="C129" s="42"/>
      <c r="D129" s="55" t="s">
        <v>99</v>
      </c>
      <c r="E129" s="43" t="s">
        <v>100</v>
      </c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4"/>
      <c r="Y129" s="44"/>
    </row>
    <row r="130" spans="1:25" ht="13.5" customHeight="1">
      <c r="A130" s="42"/>
      <c r="B130" s="42"/>
      <c r="C130" s="56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8"/>
      <c r="Y130" s="44"/>
    </row>
    <row r="131" spans="1:25" ht="13.5" customHeight="1">
      <c r="A131" s="42"/>
      <c r="B131" s="42"/>
      <c r="C131" s="42" t="s">
        <v>113</v>
      </c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62"/>
      <c r="V131" s="43"/>
      <c r="W131" s="43"/>
      <c r="X131" s="44"/>
      <c r="Y131" s="44"/>
    </row>
    <row r="132" spans="1:25" ht="13.5" customHeight="1">
      <c r="A132" s="42"/>
      <c r="B132" s="42"/>
      <c r="C132" s="42"/>
      <c r="D132" s="55" t="s">
        <v>101</v>
      </c>
      <c r="E132" s="43" t="s">
        <v>102</v>
      </c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62"/>
      <c r="V132" s="62"/>
      <c r="W132" s="43"/>
      <c r="X132" s="44"/>
      <c r="Y132" s="44"/>
    </row>
    <row r="133" spans="1:25" s="104" customFormat="1" ht="13.5" customHeight="1">
      <c r="A133" s="96"/>
      <c r="B133" s="96"/>
      <c r="C133" s="96"/>
      <c r="D133" s="97"/>
      <c r="E133" s="98" t="s">
        <v>103</v>
      </c>
      <c r="F133" s="99"/>
      <c r="G133" s="99"/>
      <c r="H133" s="99"/>
      <c r="I133" s="99"/>
      <c r="J133" s="100"/>
      <c r="K133" s="75" t="s">
        <v>104</v>
      </c>
      <c r="L133" s="76"/>
      <c r="M133" s="76"/>
      <c r="N133" s="76"/>
      <c r="O133" s="76"/>
      <c r="P133" s="76"/>
      <c r="Q133" s="76"/>
      <c r="R133" s="76"/>
      <c r="S133" s="76"/>
      <c r="T133" s="101"/>
      <c r="U133" s="101"/>
      <c r="V133" s="102"/>
      <c r="W133" s="43"/>
      <c r="X133" s="44"/>
      <c r="Y133" s="103"/>
    </row>
    <row r="134" spans="1:25" s="104" customFormat="1" ht="13.5" customHeight="1">
      <c r="A134" s="96"/>
      <c r="B134" s="96"/>
      <c r="C134" s="96"/>
      <c r="D134" s="97"/>
      <c r="E134" s="105" t="s">
        <v>105</v>
      </c>
      <c r="F134" s="106"/>
      <c r="G134" s="106"/>
      <c r="H134" s="106"/>
      <c r="I134" s="106"/>
      <c r="J134" s="106"/>
      <c r="K134" s="105" t="s">
        <v>106</v>
      </c>
      <c r="L134" s="106"/>
      <c r="M134" s="106"/>
      <c r="N134" s="106"/>
      <c r="O134" s="106"/>
      <c r="P134" s="106"/>
      <c r="Q134" s="106"/>
      <c r="R134" s="106"/>
      <c r="S134" s="106"/>
      <c r="T134" s="106"/>
      <c r="U134" s="107"/>
      <c r="V134" s="108"/>
      <c r="W134" s="43"/>
      <c r="X134" s="103"/>
      <c r="Y134" s="103"/>
    </row>
    <row r="135" spans="1:25" s="104" customFormat="1" ht="13.5" customHeight="1">
      <c r="A135" s="96"/>
      <c r="B135" s="96"/>
      <c r="C135" s="96"/>
      <c r="D135" s="97"/>
      <c r="E135" s="109" t="s">
        <v>61</v>
      </c>
      <c r="F135" s="110"/>
      <c r="G135" s="110"/>
      <c r="H135" s="110"/>
      <c r="I135" s="110"/>
      <c r="J135" s="110"/>
      <c r="K135" s="109" t="s">
        <v>184</v>
      </c>
      <c r="L135" s="110"/>
      <c r="M135" s="110"/>
      <c r="N135" s="110"/>
      <c r="O135" s="110"/>
      <c r="P135" s="110"/>
      <c r="Q135" s="110"/>
      <c r="R135" s="110"/>
      <c r="S135" s="110"/>
      <c r="T135" s="110"/>
      <c r="U135" s="111"/>
      <c r="V135" s="112"/>
      <c r="W135" s="43"/>
      <c r="X135" s="103"/>
      <c r="Y135" s="103"/>
    </row>
    <row r="136" spans="1:25" s="104" customFormat="1" ht="13.5" customHeight="1">
      <c r="A136" s="96"/>
      <c r="B136" s="96"/>
      <c r="C136" s="96"/>
      <c r="D136" s="97"/>
      <c r="E136" s="80" t="s">
        <v>107</v>
      </c>
      <c r="F136" s="81"/>
      <c r="G136" s="81"/>
      <c r="H136" s="81"/>
      <c r="I136" s="81"/>
      <c r="J136" s="81"/>
      <c r="K136" s="80" t="s">
        <v>184</v>
      </c>
      <c r="L136" s="81"/>
      <c r="M136" s="81"/>
      <c r="N136" s="81"/>
      <c r="O136" s="81"/>
      <c r="P136" s="81"/>
      <c r="Q136" s="81"/>
      <c r="R136" s="81"/>
      <c r="S136" s="81"/>
      <c r="T136" s="81"/>
      <c r="U136" s="113"/>
      <c r="V136" s="114"/>
      <c r="W136" s="43"/>
      <c r="X136" s="103"/>
      <c r="Y136" s="103"/>
    </row>
    <row r="137" spans="1:25" ht="13.5" customHeight="1">
      <c r="A137" s="42"/>
      <c r="B137" s="84"/>
      <c r="C137" s="84"/>
      <c r="D137" s="85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7"/>
      <c r="Y137" s="44"/>
    </row>
    <row r="138" spans="1:25" ht="13.5" customHeight="1">
      <c r="A138" s="115"/>
      <c r="B138" s="39">
        <v>9</v>
      </c>
      <c r="C138" s="50" t="s">
        <v>114</v>
      </c>
      <c r="D138" s="51"/>
      <c r="E138" s="51"/>
      <c r="F138" s="50"/>
      <c r="G138" s="51"/>
      <c r="H138" s="52"/>
      <c r="I138" s="50" t="s">
        <v>87</v>
      </c>
      <c r="J138" s="51"/>
      <c r="K138" s="51"/>
      <c r="L138" s="51"/>
      <c r="M138" s="52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4"/>
      <c r="Y138" s="116"/>
    </row>
    <row r="139" spans="1:25" ht="13.5" customHeight="1">
      <c r="A139" s="115"/>
      <c r="B139" s="42"/>
      <c r="C139" s="39" t="s">
        <v>115</v>
      </c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1"/>
      <c r="Y139" s="116"/>
    </row>
    <row r="140" spans="1:25" ht="13.5" customHeight="1">
      <c r="A140" s="115"/>
      <c r="B140" s="42"/>
      <c r="C140" s="42"/>
      <c r="D140" s="55" t="s">
        <v>116</v>
      </c>
      <c r="E140" s="43" t="s">
        <v>117</v>
      </c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4"/>
      <c r="Y140" s="116"/>
    </row>
    <row r="141" spans="1:25" ht="13.5" customHeight="1">
      <c r="A141" s="115"/>
      <c r="B141" s="42"/>
      <c r="C141" s="56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8"/>
      <c r="Y141" s="116"/>
    </row>
    <row r="142" spans="1:25" ht="13.5" customHeight="1">
      <c r="A142" s="115"/>
      <c r="B142" s="42"/>
      <c r="C142" s="59" t="s">
        <v>118</v>
      </c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1"/>
      <c r="Y142" s="116"/>
    </row>
    <row r="143" spans="1:25" ht="13.5" customHeight="1">
      <c r="A143" s="115"/>
      <c r="B143" s="42"/>
      <c r="C143" s="42"/>
      <c r="D143" s="55" t="s">
        <v>119</v>
      </c>
      <c r="E143" s="43" t="s">
        <v>120</v>
      </c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4"/>
      <c r="Y143" s="116"/>
    </row>
    <row r="144" spans="1:25" ht="13.5" customHeight="1">
      <c r="A144" s="115"/>
      <c r="B144" s="42"/>
      <c r="C144" s="42"/>
      <c r="D144" s="55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4"/>
      <c r="Y144" s="116"/>
    </row>
    <row r="145" spans="1:25" ht="13.5" customHeight="1">
      <c r="A145" s="115"/>
      <c r="B145" s="83"/>
      <c r="C145" s="84"/>
      <c r="D145" s="85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5"/>
      <c r="V145" s="86"/>
      <c r="W145" s="86"/>
      <c r="X145" s="87"/>
      <c r="Y145" s="116"/>
    </row>
    <row r="146" spans="1:25" ht="13.5" customHeight="1">
      <c r="A146" s="42"/>
      <c r="B146" s="39">
        <v>10</v>
      </c>
      <c r="C146" s="191" t="s">
        <v>323</v>
      </c>
      <c r="D146" s="51"/>
      <c r="E146" s="51"/>
      <c r="F146" s="50"/>
      <c r="G146" s="51"/>
      <c r="H146" s="52"/>
      <c r="I146" s="50" t="s">
        <v>87</v>
      </c>
      <c r="J146" s="51"/>
      <c r="K146" s="51"/>
      <c r="L146" s="51"/>
      <c r="M146" s="52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4"/>
      <c r="Y146" s="44"/>
    </row>
    <row r="147" spans="1:25" ht="13.5" customHeight="1">
      <c r="A147" s="42"/>
      <c r="B147" s="42"/>
      <c r="C147" s="192" t="s">
        <v>329</v>
      </c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1"/>
      <c r="Y147" s="44"/>
    </row>
    <row r="148" spans="1:25" ht="13.5" customHeight="1">
      <c r="A148" s="42"/>
      <c r="B148" s="42"/>
      <c r="C148" s="42"/>
      <c r="D148" s="193" t="s">
        <v>330</v>
      </c>
      <c r="E148" s="194" t="s">
        <v>324</v>
      </c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4"/>
      <c r="Y148" s="44"/>
    </row>
    <row r="149" spans="1:25" ht="13.5" customHeight="1">
      <c r="A149" s="42"/>
      <c r="B149" s="42"/>
      <c r="C149" s="56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8"/>
      <c r="Y149" s="44"/>
    </row>
    <row r="150" spans="1:25" ht="13.5" customHeight="1">
      <c r="A150" s="42"/>
      <c r="B150" s="42"/>
      <c r="C150" s="195" t="s">
        <v>331</v>
      </c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62"/>
      <c r="V150" s="43"/>
      <c r="W150" s="43"/>
      <c r="X150" s="44"/>
      <c r="Y150" s="44"/>
    </row>
    <row r="151" spans="1:25" ht="13.5" customHeight="1">
      <c r="A151" s="42"/>
      <c r="B151" s="42"/>
      <c r="C151" s="42"/>
      <c r="D151" s="193" t="s">
        <v>332</v>
      </c>
      <c r="E151" s="194" t="s">
        <v>325</v>
      </c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62"/>
      <c r="V151" s="62"/>
      <c r="W151" s="43"/>
      <c r="X151" s="44"/>
      <c r="Y151" s="44"/>
    </row>
    <row r="152" spans="1:25" s="104" customFormat="1" ht="13.5" customHeight="1">
      <c r="A152" s="96"/>
      <c r="B152" s="96"/>
      <c r="C152" s="96"/>
      <c r="D152" s="97"/>
      <c r="E152" s="196" t="s">
        <v>326</v>
      </c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43"/>
      <c r="X152" s="44"/>
      <c r="Y152" s="103"/>
    </row>
    <row r="153" spans="1:25" s="104" customFormat="1" ht="13.5" customHeight="1">
      <c r="A153" s="96"/>
      <c r="B153" s="96"/>
      <c r="C153" s="96"/>
      <c r="D153" s="193" t="s">
        <v>332</v>
      </c>
      <c r="E153" s="194" t="s">
        <v>327</v>
      </c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43"/>
      <c r="X153" s="44"/>
      <c r="Y153" s="103"/>
    </row>
    <row r="154" spans="1:25" s="104" customFormat="1" ht="13.5" customHeight="1">
      <c r="A154" s="96"/>
      <c r="B154" s="96"/>
      <c r="C154" s="96"/>
      <c r="D154" s="193"/>
      <c r="E154" s="196" t="s">
        <v>328</v>
      </c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43"/>
      <c r="X154" s="44"/>
      <c r="Y154" s="103"/>
    </row>
    <row r="155" spans="1:25" ht="13.5" customHeight="1">
      <c r="A155" s="42"/>
      <c r="B155" s="84"/>
      <c r="C155" s="84"/>
      <c r="D155" s="85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7"/>
      <c r="Y155" s="44"/>
    </row>
    <row r="156" spans="1:25" ht="13.5" customHeight="1">
      <c r="A156" s="39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41"/>
    </row>
    <row r="157" spans="1:25" ht="13.5" customHeight="1">
      <c r="A157" s="42"/>
      <c r="B157" s="27" t="s">
        <v>132</v>
      </c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4"/>
    </row>
    <row r="158" spans="1:25" ht="13.5" customHeight="1">
      <c r="A158" s="42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4"/>
    </row>
    <row r="159" spans="1:25" ht="13.5" customHeight="1">
      <c r="A159" s="42"/>
      <c r="B159" s="117" t="s">
        <v>124</v>
      </c>
      <c r="C159" s="162" t="s">
        <v>12</v>
      </c>
      <c r="D159" s="163"/>
      <c r="E159" s="163"/>
      <c r="F159" s="163"/>
      <c r="G159" s="164"/>
      <c r="H159" s="118" t="s">
        <v>13</v>
      </c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 t="s">
        <v>125</v>
      </c>
      <c r="T159" s="119"/>
      <c r="U159" s="119"/>
      <c r="V159" s="119"/>
      <c r="W159" s="119"/>
      <c r="X159" s="120"/>
      <c r="Y159" s="44"/>
    </row>
    <row r="160" spans="1:25" ht="13.5" customHeight="1">
      <c r="A160" s="42"/>
      <c r="B160" s="121"/>
      <c r="C160" s="165"/>
      <c r="D160" s="166"/>
      <c r="E160" s="166"/>
      <c r="F160" s="166"/>
      <c r="G160" s="167"/>
      <c r="H160" s="118" t="s">
        <v>15</v>
      </c>
      <c r="I160" s="119"/>
      <c r="J160" s="119"/>
      <c r="K160" s="119"/>
      <c r="L160" s="119"/>
      <c r="M160" s="119"/>
      <c r="N160" s="119"/>
      <c r="O160" s="120"/>
      <c r="P160" s="122" t="s">
        <v>126</v>
      </c>
      <c r="Q160" s="122"/>
      <c r="R160" s="123"/>
      <c r="S160" s="118" t="s">
        <v>14</v>
      </c>
      <c r="T160" s="119"/>
      <c r="U160" s="119"/>
      <c r="V160" s="120"/>
      <c r="W160" s="119"/>
      <c r="X160" s="120"/>
      <c r="Y160" s="44"/>
    </row>
    <row r="161" spans="1:25" ht="13.5" customHeight="1">
      <c r="A161" s="42"/>
      <c r="B161" s="39">
        <v>1</v>
      </c>
      <c r="C161" s="154" t="s">
        <v>192</v>
      </c>
      <c r="D161" s="168"/>
      <c r="E161" s="168"/>
      <c r="F161" s="168"/>
      <c r="G161" s="169"/>
      <c r="H161" s="179" t="s">
        <v>127</v>
      </c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1"/>
      <c r="Y161" s="44"/>
    </row>
    <row r="162" spans="1:25" ht="13.5" customHeight="1">
      <c r="A162" s="42"/>
      <c r="B162" s="42"/>
      <c r="C162" s="173"/>
      <c r="D162" s="174"/>
      <c r="E162" s="174"/>
      <c r="F162" s="174"/>
      <c r="G162" s="175"/>
      <c r="H162" s="176" t="s">
        <v>128</v>
      </c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8"/>
      <c r="Y162" s="44"/>
    </row>
    <row r="163" spans="1:25" ht="13.5" customHeight="1">
      <c r="A163" s="42"/>
      <c r="B163" s="42"/>
      <c r="C163" s="173"/>
      <c r="D163" s="174"/>
      <c r="E163" s="174"/>
      <c r="F163" s="174"/>
      <c r="G163" s="175"/>
      <c r="H163" s="154" t="s">
        <v>222</v>
      </c>
      <c r="I163" s="155"/>
      <c r="J163" s="155"/>
      <c r="K163" s="155"/>
      <c r="L163" s="155"/>
      <c r="M163" s="155"/>
      <c r="N163" s="155"/>
      <c r="O163" s="156"/>
      <c r="P163" s="39" t="s">
        <v>205</v>
      </c>
      <c r="Q163" s="40"/>
      <c r="R163" s="41"/>
      <c r="S163" s="39" t="s">
        <v>224</v>
      </c>
      <c r="T163" s="40"/>
      <c r="U163" s="40"/>
      <c r="V163" s="40"/>
      <c r="W163" s="40"/>
      <c r="X163" s="41"/>
      <c r="Y163" s="44"/>
    </row>
    <row r="164" spans="1:25" ht="13.5" customHeight="1">
      <c r="A164" s="42"/>
      <c r="B164" s="42"/>
      <c r="C164" s="170"/>
      <c r="D164" s="171"/>
      <c r="E164" s="171"/>
      <c r="F164" s="171"/>
      <c r="G164" s="172"/>
      <c r="H164" s="157"/>
      <c r="I164" s="158"/>
      <c r="J164" s="158"/>
      <c r="K164" s="158"/>
      <c r="L164" s="158"/>
      <c r="M164" s="158"/>
      <c r="N164" s="158"/>
      <c r="O164" s="159"/>
      <c r="P164" s="42"/>
      <c r="Q164" s="43"/>
      <c r="R164" s="44"/>
      <c r="S164" s="42"/>
      <c r="T164" s="43"/>
      <c r="U164" s="43"/>
      <c r="V164" s="43"/>
      <c r="W164" s="43"/>
      <c r="X164" s="44"/>
      <c r="Y164" s="44"/>
    </row>
    <row r="165" spans="1:25" ht="13.5" customHeight="1">
      <c r="A165" s="42"/>
      <c r="B165" s="39">
        <v>2</v>
      </c>
      <c r="C165" s="154" t="s">
        <v>201</v>
      </c>
      <c r="D165" s="168"/>
      <c r="E165" s="168"/>
      <c r="F165" s="168"/>
      <c r="G165" s="169"/>
      <c r="H165" s="154" t="s">
        <v>129</v>
      </c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9"/>
      <c r="Y165" s="44"/>
    </row>
    <row r="166" spans="1:25" ht="13.5" customHeight="1">
      <c r="A166" s="42"/>
      <c r="B166" s="42"/>
      <c r="C166" s="173"/>
      <c r="D166" s="174"/>
      <c r="E166" s="174"/>
      <c r="F166" s="174"/>
      <c r="G166" s="175"/>
      <c r="H166" s="170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2"/>
      <c r="Y166" s="44"/>
    </row>
    <row r="167" spans="1:25" ht="13.5" customHeight="1">
      <c r="A167" s="42"/>
      <c r="B167" s="42"/>
      <c r="C167" s="173"/>
      <c r="D167" s="174"/>
      <c r="E167" s="174"/>
      <c r="F167" s="174"/>
      <c r="G167" s="175"/>
      <c r="H167" s="154" t="s">
        <v>222</v>
      </c>
      <c r="I167" s="155"/>
      <c r="J167" s="155"/>
      <c r="K167" s="155"/>
      <c r="L167" s="155"/>
      <c r="M167" s="155"/>
      <c r="N167" s="155"/>
      <c r="O167" s="156"/>
      <c r="P167" s="39" t="s">
        <v>202</v>
      </c>
      <c r="Q167" s="40"/>
      <c r="R167" s="41"/>
      <c r="S167" s="39" t="s">
        <v>224</v>
      </c>
      <c r="T167" s="40"/>
      <c r="U167" s="40"/>
      <c r="V167" s="40"/>
      <c r="W167" s="40"/>
      <c r="X167" s="41"/>
      <c r="Y167" s="44"/>
    </row>
    <row r="168" spans="1:25" ht="13.5" customHeight="1">
      <c r="A168" s="42"/>
      <c r="B168" s="42"/>
      <c r="C168" s="173"/>
      <c r="D168" s="174"/>
      <c r="E168" s="174"/>
      <c r="F168" s="174"/>
      <c r="G168" s="175"/>
      <c r="H168" s="157"/>
      <c r="I168" s="158"/>
      <c r="J168" s="158"/>
      <c r="K168" s="158"/>
      <c r="L168" s="158"/>
      <c r="M168" s="158"/>
      <c r="N168" s="158"/>
      <c r="O168" s="159"/>
      <c r="P168" s="84"/>
      <c r="Q168" s="86"/>
      <c r="R168" s="87"/>
      <c r="S168" s="84"/>
      <c r="T168" s="86"/>
      <c r="U168" s="86"/>
      <c r="V168" s="86"/>
      <c r="W168" s="86"/>
      <c r="X168" s="87"/>
      <c r="Y168" s="44"/>
    </row>
    <row r="169" spans="1:25" ht="13.5" customHeight="1">
      <c r="A169" s="42"/>
      <c r="B169" s="42"/>
      <c r="C169" s="173"/>
      <c r="D169" s="174"/>
      <c r="E169" s="174"/>
      <c r="F169" s="174"/>
      <c r="G169" s="175"/>
      <c r="H169" s="154" t="s">
        <v>130</v>
      </c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9"/>
      <c r="Y169" s="44"/>
    </row>
    <row r="170" spans="1:25" ht="13.5" customHeight="1">
      <c r="A170" s="42"/>
      <c r="B170" s="42"/>
      <c r="C170" s="173"/>
      <c r="D170" s="174"/>
      <c r="E170" s="174"/>
      <c r="F170" s="174"/>
      <c r="G170" s="175"/>
      <c r="H170" s="170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2"/>
      <c r="Y170" s="44"/>
    </row>
    <row r="171" spans="1:25" ht="13.5" customHeight="1">
      <c r="A171" s="42"/>
      <c r="B171" s="42"/>
      <c r="C171" s="173"/>
      <c r="D171" s="174"/>
      <c r="E171" s="174"/>
      <c r="F171" s="174"/>
      <c r="G171" s="175"/>
      <c r="H171" s="154" t="s">
        <v>222</v>
      </c>
      <c r="I171" s="155"/>
      <c r="J171" s="155"/>
      <c r="K171" s="155"/>
      <c r="L171" s="155"/>
      <c r="M171" s="155"/>
      <c r="N171" s="155"/>
      <c r="O171" s="156"/>
      <c r="P171" s="39" t="s">
        <v>202</v>
      </c>
      <c r="Q171" s="40"/>
      <c r="R171" s="41"/>
      <c r="S171" s="39" t="s">
        <v>224</v>
      </c>
      <c r="T171" s="40"/>
      <c r="U171" s="40"/>
      <c r="V171" s="40"/>
      <c r="W171" s="40"/>
      <c r="X171" s="41"/>
      <c r="Y171" s="44"/>
    </row>
    <row r="172" spans="1:25" ht="13.5" customHeight="1">
      <c r="A172" s="42"/>
      <c r="B172" s="84"/>
      <c r="C172" s="170"/>
      <c r="D172" s="171"/>
      <c r="E172" s="171"/>
      <c r="F172" s="171"/>
      <c r="G172" s="172"/>
      <c r="H172" s="157"/>
      <c r="I172" s="158"/>
      <c r="J172" s="158"/>
      <c r="K172" s="158"/>
      <c r="L172" s="158"/>
      <c r="M172" s="158"/>
      <c r="N172" s="158"/>
      <c r="O172" s="159"/>
      <c r="P172" s="84"/>
      <c r="Q172" s="86"/>
      <c r="R172" s="87"/>
      <c r="S172" s="84"/>
      <c r="T172" s="86"/>
      <c r="U172" s="86"/>
      <c r="V172" s="86"/>
      <c r="W172" s="86"/>
      <c r="X172" s="87"/>
      <c r="Y172" s="44"/>
    </row>
    <row r="173" spans="1:25" ht="13.5" customHeight="1">
      <c r="A173" s="42"/>
      <c r="B173" s="42">
        <v>3</v>
      </c>
      <c r="C173" s="154" t="s">
        <v>203</v>
      </c>
      <c r="D173" s="168"/>
      <c r="E173" s="168"/>
      <c r="F173" s="168"/>
      <c r="G173" s="169"/>
      <c r="H173" s="154" t="s">
        <v>131</v>
      </c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9"/>
      <c r="Y173" s="44"/>
    </row>
    <row r="174" spans="1:25" ht="13.5" customHeight="1">
      <c r="A174" s="42"/>
      <c r="B174" s="42"/>
      <c r="C174" s="173"/>
      <c r="D174" s="174"/>
      <c r="E174" s="174"/>
      <c r="F174" s="174"/>
      <c r="G174" s="175"/>
      <c r="H174" s="170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2"/>
      <c r="Y174" s="44"/>
    </row>
    <row r="175" spans="1:25" ht="13.5" customHeight="1">
      <c r="A175" s="42"/>
      <c r="B175" s="42"/>
      <c r="C175" s="173"/>
      <c r="D175" s="174"/>
      <c r="E175" s="174"/>
      <c r="F175" s="174"/>
      <c r="G175" s="175"/>
      <c r="H175" s="154" t="s">
        <v>222</v>
      </c>
      <c r="I175" s="155"/>
      <c r="J175" s="155"/>
      <c r="K175" s="155"/>
      <c r="L175" s="155"/>
      <c r="M175" s="155"/>
      <c r="N175" s="155"/>
      <c r="O175" s="156"/>
      <c r="P175" s="39" t="s">
        <v>204</v>
      </c>
      <c r="Q175" s="40"/>
      <c r="R175" s="41"/>
      <c r="S175" s="39" t="s">
        <v>224</v>
      </c>
      <c r="T175" s="40"/>
      <c r="U175" s="40"/>
      <c r="V175" s="40"/>
      <c r="W175" s="40"/>
      <c r="X175" s="41"/>
      <c r="Y175" s="44"/>
    </row>
    <row r="176" spans="1:25" ht="13.5" customHeight="1">
      <c r="A176" s="42"/>
      <c r="B176" s="84"/>
      <c r="C176" s="170"/>
      <c r="D176" s="171"/>
      <c r="E176" s="171"/>
      <c r="F176" s="171"/>
      <c r="G176" s="172"/>
      <c r="H176" s="157"/>
      <c r="I176" s="158"/>
      <c r="J176" s="158"/>
      <c r="K176" s="158"/>
      <c r="L176" s="158"/>
      <c r="M176" s="158"/>
      <c r="N176" s="158"/>
      <c r="O176" s="159"/>
      <c r="P176" s="84"/>
      <c r="Q176" s="86"/>
      <c r="R176" s="87"/>
      <c r="S176" s="84"/>
      <c r="T176" s="86"/>
      <c r="U176" s="86"/>
      <c r="V176" s="86"/>
      <c r="W176" s="86"/>
      <c r="X176" s="87"/>
      <c r="Y176" s="44"/>
    </row>
    <row r="177" spans="1:25" ht="13.5" customHeight="1">
      <c r="A177" s="115"/>
      <c r="B177" s="43" t="s">
        <v>227</v>
      </c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116"/>
    </row>
    <row r="178" spans="1:25" ht="13.5" customHeight="1">
      <c r="A178" s="115"/>
      <c r="B178" s="43" t="s">
        <v>228</v>
      </c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116"/>
    </row>
    <row r="179" spans="1:25" ht="13.5" customHeight="1">
      <c r="A179" s="42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44"/>
    </row>
    <row r="180" spans="1:25" ht="13.5" customHeight="1">
      <c r="A180" s="42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44"/>
    </row>
    <row r="181" spans="1:25" ht="13.5" customHeight="1">
      <c r="A181" s="42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44"/>
    </row>
    <row r="182" spans="1:25" ht="13.5" customHeight="1">
      <c r="A182" s="42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44"/>
    </row>
    <row r="183" spans="1:25" ht="13.5" customHeight="1">
      <c r="A183" s="42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44"/>
    </row>
    <row r="184" spans="1:25" ht="13.5" customHeight="1">
      <c r="A184" s="42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44"/>
    </row>
    <row r="185" spans="1:25" ht="13.5" customHeight="1">
      <c r="A185" s="42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44"/>
    </row>
    <row r="186" spans="1:25" ht="13.5" customHeight="1">
      <c r="A186" s="42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44"/>
    </row>
    <row r="187" spans="1:25" ht="13.5" customHeight="1">
      <c r="A187" s="42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44"/>
    </row>
    <row r="188" spans="1:25" ht="13.5" customHeight="1">
      <c r="A188" s="42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44"/>
    </row>
    <row r="189" spans="1:25" ht="13.5" customHeight="1">
      <c r="A189" s="42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44"/>
    </row>
    <row r="190" spans="1:25" ht="13.5" customHeight="1">
      <c r="A190" s="42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44"/>
    </row>
    <row r="191" spans="1:25" ht="13.5" customHeight="1">
      <c r="A191" s="42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44"/>
    </row>
    <row r="192" spans="1:25" ht="13.5" customHeight="1">
      <c r="A192" s="42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44"/>
    </row>
    <row r="193" spans="1:25" ht="13.5" customHeight="1">
      <c r="A193" s="42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44"/>
    </row>
    <row r="194" spans="1:25" ht="13.5" customHeight="1">
      <c r="A194" s="42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44"/>
    </row>
    <row r="195" spans="1:25" ht="13.5" customHeight="1">
      <c r="A195" s="42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44"/>
    </row>
    <row r="196" spans="1:25" ht="13.5" customHeight="1">
      <c r="A196" s="42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44"/>
    </row>
    <row r="197" spans="1:25" ht="13.5" customHeight="1">
      <c r="A197" s="42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44"/>
    </row>
    <row r="198" spans="1:25" ht="13.5" customHeight="1">
      <c r="A198" s="42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44"/>
    </row>
    <row r="199" spans="1:25" ht="13.5" customHeight="1">
      <c r="A199" s="42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44"/>
    </row>
    <row r="200" spans="1:25" ht="13.5" customHeight="1">
      <c r="A200" s="42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44"/>
    </row>
    <row r="201" spans="1:25" ht="13.5" customHeight="1">
      <c r="A201" s="42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44"/>
    </row>
    <row r="202" spans="1:25" ht="13.5" customHeight="1">
      <c r="A202" s="42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44"/>
    </row>
    <row r="203" spans="1:25" ht="13.5" customHeight="1">
      <c r="A203" s="42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44"/>
    </row>
    <row r="204" spans="1:25" ht="13.5" customHeight="1">
      <c r="A204" s="42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44"/>
    </row>
    <row r="205" spans="1:25" ht="13.5" customHeight="1">
      <c r="A205" s="42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44"/>
    </row>
    <row r="206" spans="1:25" ht="13.5" customHeight="1">
      <c r="A206" s="42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44"/>
    </row>
    <row r="207" spans="1:25" ht="13.5" customHeight="1">
      <c r="A207" s="84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7"/>
    </row>
  </sheetData>
  <mergeCells count="21">
    <mergeCell ref="B10:B11"/>
    <mergeCell ref="D1:Y1"/>
    <mergeCell ref="D2:Y2"/>
    <mergeCell ref="A3:Y3"/>
    <mergeCell ref="A4:Y5"/>
    <mergeCell ref="D6:Y6"/>
    <mergeCell ref="H175:O176"/>
    <mergeCell ref="B63:B64"/>
    <mergeCell ref="B115:B116"/>
    <mergeCell ref="C159:G160"/>
    <mergeCell ref="H165:X166"/>
    <mergeCell ref="H167:O168"/>
    <mergeCell ref="H169:X170"/>
    <mergeCell ref="H171:O172"/>
    <mergeCell ref="H173:X174"/>
    <mergeCell ref="C161:G164"/>
    <mergeCell ref="C165:G172"/>
    <mergeCell ref="C173:G176"/>
    <mergeCell ref="H163:O164"/>
    <mergeCell ref="H162:X162"/>
    <mergeCell ref="H161:X161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&amp;C3.1.10-&amp;P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5"/>
  <sheetViews>
    <sheetView view="pageBreakPreview" zoomScaleNormal="100" zoomScaleSheetLayoutView="100" workbookViewId="0">
      <pane ySplit="6" topLeftCell="A7" activePane="bottomLeft" state="frozen"/>
      <selection activeCell="AE163" sqref="AE163"/>
      <selection pane="bottomLeft" activeCell="T81" sqref="T81"/>
    </sheetView>
  </sheetViews>
  <sheetFormatPr defaultColWidth="3.6640625" defaultRowHeight="13.5" customHeight="1"/>
  <cols>
    <col min="1" max="16384" width="3.6640625" style="12"/>
  </cols>
  <sheetData>
    <row r="1" spans="1:25" ht="13.5" customHeight="1">
      <c r="A1" s="25" t="s">
        <v>7</v>
      </c>
      <c r="B1" s="26"/>
      <c r="C1" s="26"/>
      <c r="D1" s="142" t="str">
        <f>目次!D1</f>
        <v>備蓄品管理システム</v>
      </c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 t="s">
        <v>241</v>
      </c>
      <c r="U1" s="143"/>
      <c r="V1" s="143" t="s">
        <v>242</v>
      </c>
      <c r="W1" s="143"/>
      <c r="X1" s="143"/>
      <c r="Y1" s="144"/>
    </row>
    <row r="2" spans="1:25" ht="13.5" customHeight="1">
      <c r="A2" s="25" t="str">
        <f>目次!A2</f>
        <v>章番号</v>
      </c>
      <c r="B2" s="26"/>
      <c r="C2" s="26"/>
      <c r="D2" s="142" t="str">
        <f>目次!D2</f>
        <v>第３章　機能設計</v>
      </c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 t="s">
        <v>5</v>
      </c>
      <c r="U2" s="143"/>
      <c r="V2" s="143">
        <v>42398</v>
      </c>
      <c r="W2" s="143"/>
      <c r="X2" s="143"/>
      <c r="Y2" s="144"/>
    </row>
    <row r="3" spans="1:25" ht="13.5" customHeight="1">
      <c r="A3" s="145" t="str">
        <f>目次!A3</f>
        <v>機能名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 t="s">
        <v>4</v>
      </c>
      <c r="U3" s="146"/>
      <c r="V3" s="146" t="s">
        <v>8</v>
      </c>
      <c r="W3" s="146"/>
      <c r="X3" s="146"/>
      <c r="Y3" s="147"/>
    </row>
    <row r="4" spans="1:25" ht="13.5" customHeight="1">
      <c r="A4" s="148" t="str">
        <f>目次!A4</f>
        <v>３．１．１０　災害一覧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 t="s">
        <v>16</v>
      </c>
      <c r="U4" s="149"/>
      <c r="V4" s="149" t="s">
        <v>243</v>
      </c>
      <c r="W4" s="149"/>
      <c r="X4" s="149"/>
      <c r="Y4" s="150"/>
    </row>
    <row r="5" spans="1:25" ht="13.5" customHeight="1">
      <c r="A5" s="151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 t="s">
        <v>6</v>
      </c>
      <c r="U5" s="152"/>
      <c r="V5" s="152"/>
      <c r="W5" s="152"/>
      <c r="X5" s="152"/>
      <c r="Y5" s="153"/>
    </row>
    <row r="6" spans="1:25" ht="13.5" customHeight="1">
      <c r="A6" s="25" t="s">
        <v>9</v>
      </c>
      <c r="B6" s="26"/>
      <c r="C6" s="26"/>
      <c r="D6" s="182" t="str">
        <f>目次!D10</f>
        <v>３．１．１０．２　災害登録</v>
      </c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 t="s">
        <v>244</v>
      </c>
      <c r="P6" s="183"/>
      <c r="Q6" s="183"/>
      <c r="R6" s="183"/>
      <c r="S6" s="183"/>
      <c r="T6" s="183"/>
      <c r="U6" s="183"/>
      <c r="V6" s="183"/>
      <c r="W6" s="183"/>
      <c r="X6" s="183"/>
      <c r="Y6" s="184"/>
    </row>
    <row r="7" spans="1:25" ht="13.5" customHeight="1">
      <c r="A7" s="39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1"/>
    </row>
    <row r="8" spans="1:25" ht="13.5" customHeight="1">
      <c r="A8" s="42"/>
      <c r="B8" s="27" t="s">
        <v>149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4"/>
    </row>
    <row r="9" spans="1:25" ht="13.5" customHeight="1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4"/>
    </row>
    <row r="10" spans="1:25" ht="13.5" customHeight="1">
      <c r="A10" s="42"/>
      <c r="B10" s="160" t="s">
        <v>2</v>
      </c>
      <c r="C10" s="45" t="s">
        <v>10</v>
      </c>
      <c r="D10" s="46"/>
      <c r="E10" s="46"/>
      <c r="F10" s="46"/>
      <c r="G10" s="46"/>
      <c r="H10" s="47"/>
      <c r="I10" s="45" t="s">
        <v>3</v>
      </c>
      <c r="J10" s="46"/>
      <c r="K10" s="46"/>
      <c r="L10" s="46"/>
      <c r="M10" s="47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9"/>
      <c r="Y10" s="44"/>
    </row>
    <row r="11" spans="1:25" ht="13.5" customHeight="1">
      <c r="A11" s="42"/>
      <c r="B11" s="161"/>
      <c r="C11" s="45" t="s">
        <v>11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7"/>
      <c r="Y11" s="44"/>
    </row>
    <row r="12" spans="1:25" ht="13.5" customHeight="1">
      <c r="A12" s="42"/>
      <c r="B12" s="39">
        <v>1</v>
      </c>
      <c r="C12" s="50" t="s">
        <v>157</v>
      </c>
      <c r="D12" s="51"/>
      <c r="E12" s="51"/>
      <c r="F12" s="50"/>
      <c r="G12" s="51"/>
      <c r="H12" s="52"/>
      <c r="I12" s="50" t="s">
        <v>158</v>
      </c>
      <c r="J12" s="51"/>
      <c r="K12" s="51"/>
      <c r="L12" s="51"/>
      <c r="M12" s="52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4"/>
      <c r="Y12" s="44"/>
    </row>
    <row r="13" spans="1:25" ht="13.5" customHeight="1">
      <c r="A13" s="42"/>
      <c r="B13" s="42"/>
      <c r="C13" s="39" t="s">
        <v>159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1"/>
      <c r="Y13" s="44"/>
    </row>
    <row r="14" spans="1:25" ht="13.5" customHeight="1">
      <c r="A14" s="42"/>
      <c r="B14" s="42"/>
      <c r="C14" s="42"/>
      <c r="D14" s="55" t="s">
        <v>160</v>
      </c>
      <c r="E14" s="43" t="s">
        <v>133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4"/>
      <c r="Y14" s="44"/>
    </row>
    <row r="15" spans="1:25" ht="13.5" customHeight="1">
      <c r="A15" s="42"/>
      <c r="B15" s="42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8"/>
      <c r="Y15" s="44"/>
    </row>
    <row r="16" spans="1:25" ht="13.5" customHeight="1">
      <c r="A16" s="42"/>
      <c r="B16" s="42"/>
      <c r="C16" s="59" t="s">
        <v>42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1"/>
      <c r="Y16" s="44"/>
    </row>
    <row r="17" spans="1:25" ht="13.5" customHeight="1">
      <c r="A17" s="42"/>
      <c r="B17" s="42"/>
      <c r="C17" s="42"/>
      <c r="D17" s="55" t="s">
        <v>193</v>
      </c>
      <c r="E17" s="43" t="s">
        <v>189</v>
      </c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62"/>
      <c r="W17" s="43"/>
      <c r="X17" s="44"/>
      <c r="Y17" s="44"/>
    </row>
    <row r="18" spans="1:25" ht="13.5" customHeight="1">
      <c r="A18" s="42"/>
      <c r="B18" s="42"/>
      <c r="C18" s="42"/>
      <c r="D18" s="55" t="s">
        <v>194</v>
      </c>
      <c r="E18" s="43" t="s">
        <v>223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62"/>
      <c r="W18" s="43"/>
      <c r="X18" s="44"/>
      <c r="Y18" s="44"/>
    </row>
    <row r="19" spans="1:25" ht="13.5" customHeight="1">
      <c r="A19" s="42"/>
      <c r="B19" s="42"/>
      <c r="C19" s="42"/>
      <c r="D19" s="55" t="s">
        <v>295</v>
      </c>
      <c r="E19" s="43" t="s">
        <v>290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62"/>
      <c r="W19" s="43"/>
      <c r="X19" s="44"/>
      <c r="Y19" s="44"/>
    </row>
    <row r="20" spans="1:25" ht="13.5" customHeight="1">
      <c r="A20" s="42"/>
      <c r="B20" s="42"/>
      <c r="C20" s="42"/>
      <c r="D20" s="55"/>
      <c r="E20" s="43"/>
      <c r="F20" s="43" t="s">
        <v>304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62"/>
      <c r="W20" s="43"/>
      <c r="X20" s="44"/>
      <c r="Y20" s="44"/>
    </row>
    <row r="21" spans="1:25" ht="13.5" customHeight="1">
      <c r="A21" s="42"/>
      <c r="B21" s="42"/>
      <c r="C21" s="42"/>
      <c r="D21" s="55"/>
      <c r="E21" s="43"/>
      <c r="F21" s="43" t="s">
        <v>305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62"/>
      <c r="W21" s="43"/>
      <c r="X21" s="44"/>
      <c r="Y21" s="44"/>
    </row>
    <row r="22" spans="1:25" ht="13.5" customHeight="1">
      <c r="A22" s="42"/>
      <c r="B22" s="42"/>
      <c r="C22" s="42"/>
      <c r="D22" s="55" t="s">
        <v>291</v>
      </c>
      <c r="E22" s="43" t="s">
        <v>161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62"/>
      <c r="W22" s="43"/>
      <c r="X22" s="44"/>
      <c r="Y22" s="44"/>
    </row>
    <row r="23" spans="1:25" ht="13.5" customHeight="1">
      <c r="A23" s="42"/>
      <c r="B23" s="42"/>
      <c r="C23" s="56"/>
      <c r="D23" s="70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70"/>
      <c r="V23" s="57"/>
      <c r="W23" s="57"/>
      <c r="X23" s="58"/>
      <c r="Y23" s="44"/>
    </row>
    <row r="24" spans="1:25" ht="13.5" customHeight="1">
      <c r="A24" s="42"/>
      <c r="B24" s="39">
        <v>2</v>
      </c>
      <c r="C24" s="50" t="s">
        <v>166</v>
      </c>
      <c r="D24" s="51"/>
      <c r="E24" s="51"/>
      <c r="F24" s="50"/>
      <c r="G24" s="51"/>
      <c r="H24" s="52"/>
      <c r="I24" s="50" t="s">
        <v>19</v>
      </c>
      <c r="J24" s="51"/>
      <c r="K24" s="51"/>
      <c r="L24" s="51"/>
      <c r="M24" s="52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4"/>
      <c r="Y24" s="44"/>
    </row>
    <row r="25" spans="1:25" ht="13.5" customHeight="1">
      <c r="A25" s="42"/>
      <c r="B25" s="42"/>
      <c r="C25" s="39" t="s">
        <v>261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1"/>
      <c r="Y25" s="44"/>
    </row>
    <row r="26" spans="1:25" ht="13.5" customHeight="1">
      <c r="A26" s="42"/>
      <c r="B26" s="42"/>
      <c r="C26" s="42"/>
      <c r="D26" s="55" t="s">
        <v>262</v>
      </c>
      <c r="E26" s="43" t="s">
        <v>167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4"/>
      <c r="Y26" s="44"/>
    </row>
    <row r="27" spans="1:25" ht="13.5" customHeight="1">
      <c r="A27" s="42"/>
      <c r="B27" s="42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8"/>
      <c r="Y27" s="44"/>
    </row>
    <row r="28" spans="1:25" ht="13.5" customHeight="1">
      <c r="A28" s="42"/>
      <c r="B28" s="42"/>
      <c r="C28" s="42" t="s">
        <v>263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62"/>
      <c r="V28" s="43"/>
      <c r="W28" s="43"/>
      <c r="X28" s="44"/>
      <c r="Y28" s="44"/>
    </row>
    <row r="29" spans="1:25" ht="13.5" customHeight="1">
      <c r="A29" s="42"/>
      <c r="B29" s="42"/>
      <c r="C29" s="42"/>
      <c r="D29" s="55" t="s">
        <v>264</v>
      </c>
      <c r="E29" s="43" t="s">
        <v>210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62"/>
      <c r="V29" s="43"/>
      <c r="W29" s="43"/>
      <c r="X29" s="44"/>
      <c r="Y29" s="44"/>
    </row>
    <row r="30" spans="1:25" ht="13.5" customHeight="1">
      <c r="A30" s="42"/>
      <c r="B30" s="94"/>
      <c r="C30" s="42"/>
      <c r="D30" s="55"/>
      <c r="E30" s="43" t="s">
        <v>182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4"/>
      <c r="Y30" s="44"/>
    </row>
    <row r="31" spans="1:25" ht="13.5" customHeight="1">
      <c r="A31" s="42"/>
      <c r="B31" s="94"/>
      <c r="C31" s="42"/>
      <c r="D31" s="55"/>
      <c r="E31" s="43"/>
      <c r="F31" s="43" t="s">
        <v>265</v>
      </c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4"/>
      <c r="Y31" s="44"/>
    </row>
    <row r="32" spans="1:25" ht="13.5" customHeight="1">
      <c r="A32" s="42"/>
      <c r="B32" s="94"/>
      <c r="C32" s="42"/>
      <c r="D32" s="55"/>
      <c r="E32" s="43"/>
      <c r="F32" s="43" t="s">
        <v>179</v>
      </c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4"/>
      <c r="Y32" s="44"/>
    </row>
    <row r="33" spans="1:25" ht="13.5" customHeight="1">
      <c r="A33" s="42"/>
      <c r="B33" s="94"/>
      <c r="C33" s="42"/>
      <c r="D33" s="55" t="s">
        <v>266</v>
      </c>
      <c r="E33" s="43" t="s">
        <v>168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4"/>
      <c r="Y33" s="44"/>
    </row>
    <row r="34" spans="1:25" ht="13.5" customHeight="1">
      <c r="A34" s="42"/>
      <c r="B34" s="42"/>
      <c r="C34" s="42"/>
      <c r="D34" s="55" t="s">
        <v>267</v>
      </c>
      <c r="E34" s="43" t="s">
        <v>223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62"/>
      <c r="W34" s="43"/>
      <c r="X34" s="44"/>
      <c r="Y34" s="44"/>
    </row>
    <row r="35" spans="1:25" ht="13.5" customHeight="1">
      <c r="A35" s="42"/>
      <c r="B35" s="84"/>
      <c r="C35" s="84"/>
      <c r="D35" s="85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7"/>
      <c r="Y35" s="44"/>
    </row>
    <row r="36" spans="1:25" ht="13.5" customHeight="1">
      <c r="A36" s="42"/>
      <c r="B36" s="39">
        <v>3</v>
      </c>
      <c r="C36" s="50" t="s">
        <v>162</v>
      </c>
      <c r="D36" s="51"/>
      <c r="E36" s="51"/>
      <c r="F36" s="51"/>
      <c r="G36" s="51"/>
      <c r="H36" s="52"/>
      <c r="I36" s="50" t="s">
        <v>19</v>
      </c>
      <c r="J36" s="51"/>
      <c r="K36" s="51"/>
      <c r="L36" s="51"/>
      <c r="M36" s="52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  <c r="Y36" s="44"/>
    </row>
    <row r="37" spans="1:25" ht="13.5" customHeight="1">
      <c r="A37" s="42"/>
      <c r="B37" s="42"/>
      <c r="C37" s="39" t="s">
        <v>268</v>
      </c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1"/>
      <c r="Y37" s="44"/>
    </row>
    <row r="38" spans="1:25" ht="13.5" customHeight="1">
      <c r="A38" s="42"/>
      <c r="B38" s="42"/>
      <c r="C38" s="42"/>
      <c r="D38" s="55" t="s">
        <v>269</v>
      </c>
      <c r="E38" s="43" t="s">
        <v>163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4"/>
      <c r="Y38" s="44"/>
    </row>
    <row r="39" spans="1:25" ht="13.5" customHeight="1">
      <c r="A39" s="42"/>
      <c r="B39" s="42"/>
      <c r="C39" s="56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8"/>
      <c r="Y39" s="44"/>
    </row>
    <row r="40" spans="1:25" ht="13.5" customHeight="1">
      <c r="A40" s="42"/>
      <c r="B40" s="42"/>
      <c r="C40" s="59" t="s">
        <v>270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1"/>
      <c r="Y40" s="44"/>
    </row>
    <row r="41" spans="1:25" ht="13.5" customHeight="1">
      <c r="A41" s="42"/>
      <c r="B41" s="42"/>
      <c r="C41" s="42"/>
      <c r="D41" s="55" t="s">
        <v>271</v>
      </c>
      <c r="E41" s="43" t="s">
        <v>208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62"/>
      <c r="W41" s="43"/>
      <c r="X41" s="44"/>
      <c r="Y41" s="44"/>
    </row>
    <row r="42" spans="1:25" ht="13.5" customHeight="1">
      <c r="A42" s="42"/>
      <c r="B42" s="42"/>
      <c r="C42" s="42"/>
      <c r="D42" s="55"/>
      <c r="E42" s="43"/>
      <c r="F42" s="43" t="s">
        <v>174</v>
      </c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4"/>
      <c r="Y42" s="44"/>
    </row>
    <row r="43" spans="1:25" ht="13.5" customHeight="1">
      <c r="A43" s="42"/>
      <c r="B43" s="42"/>
      <c r="C43" s="42"/>
      <c r="D43" s="55"/>
      <c r="E43" s="43"/>
      <c r="F43" s="43"/>
      <c r="G43" s="43" t="s">
        <v>143</v>
      </c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4"/>
      <c r="Y43" s="44"/>
    </row>
    <row r="44" spans="1:25" ht="13.5" customHeight="1">
      <c r="A44" s="42"/>
      <c r="B44" s="42"/>
      <c r="C44" s="42"/>
      <c r="D44" s="55"/>
      <c r="E44" s="43"/>
      <c r="F44" s="43"/>
      <c r="G44" s="43" t="s">
        <v>144</v>
      </c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4"/>
      <c r="Y44" s="44"/>
    </row>
    <row r="45" spans="1:25" ht="13.5" customHeight="1">
      <c r="A45" s="42"/>
      <c r="B45" s="42"/>
      <c r="C45" s="42"/>
      <c r="D45" s="55" t="s">
        <v>272</v>
      </c>
      <c r="E45" s="43" t="s">
        <v>164</v>
      </c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4"/>
      <c r="Y45" s="44"/>
    </row>
    <row r="46" spans="1:25" ht="13.5" customHeight="1">
      <c r="A46" s="42"/>
      <c r="B46" s="42"/>
      <c r="C46" s="42"/>
      <c r="D46" s="55"/>
      <c r="E46" s="43"/>
      <c r="F46" s="43" t="s">
        <v>175</v>
      </c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4"/>
      <c r="Y46" s="44"/>
    </row>
    <row r="47" spans="1:25" ht="13.5" customHeight="1">
      <c r="A47" s="42"/>
      <c r="B47" s="42"/>
      <c r="C47" s="42"/>
      <c r="D47" s="55" t="s">
        <v>273</v>
      </c>
      <c r="E47" s="43" t="s">
        <v>55</v>
      </c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4"/>
      <c r="Y47" s="44"/>
    </row>
    <row r="48" spans="1:25" ht="13.5" customHeight="1">
      <c r="A48" s="42"/>
      <c r="B48" s="42"/>
      <c r="C48" s="42"/>
      <c r="D48" s="55"/>
      <c r="E48" s="43"/>
      <c r="F48" s="43" t="s">
        <v>153</v>
      </c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4"/>
      <c r="Y48" s="44"/>
    </row>
    <row r="49" spans="1:25" ht="13.5" customHeight="1">
      <c r="A49" s="42"/>
      <c r="B49" s="42"/>
      <c r="C49" s="42"/>
      <c r="D49" s="55" t="s">
        <v>274</v>
      </c>
      <c r="E49" s="43" t="s">
        <v>201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4"/>
      <c r="Y49" s="44"/>
    </row>
    <row r="50" spans="1:25" ht="13.5" customHeight="1">
      <c r="A50" s="42"/>
      <c r="B50" s="42"/>
      <c r="C50" s="42"/>
      <c r="D50" s="55"/>
      <c r="E50" s="43"/>
      <c r="F50" s="43" t="s">
        <v>206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4"/>
      <c r="Y50" s="44"/>
    </row>
    <row r="51" spans="1:25" ht="13.5" customHeight="1">
      <c r="A51" s="42"/>
      <c r="B51" s="42"/>
      <c r="C51" s="42"/>
      <c r="D51" s="55"/>
      <c r="E51" s="43"/>
      <c r="F51" s="43" t="s">
        <v>57</v>
      </c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4"/>
      <c r="Y51" s="44"/>
    </row>
    <row r="52" spans="1:25" ht="13.5" customHeight="1">
      <c r="A52" s="42"/>
      <c r="B52" s="42"/>
      <c r="C52" s="42"/>
      <c r="D52" s="55" t="s">
        <v>275</v>
      </c>
      <c r="E52" s="43" t="s">
        <v>213</v>
      </c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4"/>
      <c r="Y52" s="44"/>
    </row>
    <row r="53" spans="1:25" ht="13.5" customHeight="1">
      <c r="A53" s="42"/>
      <c r="B53" s="42"/>
      <c r="C53" s="42"/>
      <c r="D53" s="55"/>
      <c r="E53" s="43"/>
      <c r="F53" s="43" t="s">
        <v>207</v>
      </c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4"/>
      <c r="Y53" s="44"/>
    </row>
    <row r="54" spans="1:25" ht="13.5" customHeight="1">
      <c r="A54" s="42"/>
      <c r="B54" s="42"/>
      <c r="C54" s="42"/>
      <c r="D54" s="55"/>
      <c r="E54" s="43"/>
      <c r="F54" s="43" t="s">
        <v>57</v>
      </c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4"/>
      <c r="Y54" s="44"/>
    </row>
    <row r="55" spans="1:25" ht="13.5" customHeight="1">
      <c r="A55" s="42"/>
      <c r="B55" s="83"/>
      <c r="C55" s="84"/>
      <c r="D55" s="85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5"/>
      <c r="V55" s="86"/>
      <c r="W55" s="86"/>
      <c r="X55" s="87"/>
      <c r="Y55" s="44"/>
    </row>
    <row r="56" spans="1:25" ht="13.5" customHeight="1">
      <c r="A56" s="115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116"/>
    </row>
    <row r="57" spans="1:25" ht="13.5" customHeight="1">
      <c r="A57" s="115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116"/>
    </row>
    <row r="58" spans="1:25" ht="13.5" customHeight="1">
      <c r="A58" s="88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90"/>
    </row>
    <row r="59" spans="1:25" ht="13.5" customHeight="1">
      <c r="A59" s="9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3"/>
    </row>
    <row r="60" spans="1:25" ht="13.5" customHeight="1">
      <c r="A60" s="42"/>
      <c r="B60" s="27" t="s">
        <v>150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4"/>
    </row>
    <row r="61" spans="1:25" ht="13.5" customHeight="1">
      <c r="A61" s="42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4"/>
    </row>
    <row r="62" spans="1:25" ht="13.5" customHeight="1">
      <c r="A62" s="42"/>
      <c r="B62" s="160" t="s">
        <v>2</v>
      </c>
      <c r="C62" s="45" t="s">
        <v>10</v>
      </c>
      <c r="D62" s="46"/>
      <c r="E62" s="46"/>
      <c r="F62" s="46"/>
      <c r="G62" s="46"/>
      <c r="H62" s="47"/>
      <c r="I62" s="45" t="s">
        <v>3</v>
      </c>
      <c r="J62" s="46"/>
      <c r="K62" s="46"/>
      <c r="L62" s="46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9"/>
      <c r="Y62" s="44"/>
    </row>
    <row r="63" spans="1:25" ht="13.5" customHeight="1">
      <c r="A63" s="42"/>
      <c r="B63" s="161"/>
      <c r="C63" s="45" t="s">
        <v>11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7"/>
      <c r="Y63" s="44"/>
    </row>
    <row r="64" spans="1:25" ht="13.5" customHeight="1">
      <c r="A64" s="42"/>
      <c r="B64" s="42">
        <v>3</v>
      </c>
      <c r="C64" s="42"/>
      <c r="D64" s="55" t="s">
        <v>276</v>
      </c>
      <c r="E64" s="43" t="s">
        <v>196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4"/>
      <c r="Y64" s="44"/>
    </row>
    <row r="65" spans="1:25" ht="13.5" customHeight="1">
      <c r="A65" s="42"/>
      <c r="B65" s="42"/>
      <c r="C65" s="42"/>
      <c r="D65" s="55"/>
      <c r="E65" s="43"/>
      <c r="F65" s="43" t="s">
        <v>197</v>
      </c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4"/>
      <c r="Y65" s="44"/>
    </row>
    <row r="66" spans="1:25" ht="13.5" customHeight="1">
      <c r="A66" s="42"/>
      <c r="B66" s="42"/>
      <c r="C66" s="42"/>
      <c r="D66" s="55" t="s">
        <v>277</v>
      </c>
      <c r="E66" s="43" t="s">
        <v>165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4"/>
      <c r="Y66" s="44"/>
    </row>
    <row r="67" spans="1:25" ht="13.5" customHeight="1">
      <c r="A67" s="42"/>
      <c r="B67" s="42"/>
      <c r="C67" s="42"/>
      <c r="D67" s="55" t="s">
        <v>278</v>
      </c>
      <c r="E67" s="43" t="s">
        <v>209</v>
      </c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4"/>
      <c r="Y67" s="44"/>
    </row>
    <row r="68" spans="1:25" ht="13.5" customHeight="1">
      <c r="A68" s="42"/>
      <c r="B68" s="42"/>
      <c r="C68" s="42"/>
      <c r="D68" s="55"/>
      <c r="E68" s="43"/>
      <c r="F68" s="43" t="s">
        <v>177</v>
      </c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4"/>
      <c r="Y68" s="44"/>
    </row>
    <row r="69" spans="1:25" ht="13.5" customHeight="1">
      <c r="A69" s="42"/>
      <c r="B69" s="42"/>
      <c r="C69" s="42"/>
      <c r="D69" s="55" t="s">
        <v>279</v>
      </c>
      <c r="E69" s="43" t="s">
        <v>176</v>
      </c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4"/>
      <c r="Y69" s="44"/>
    </row>
    <row r="70" spans="1:25" ht="13.5" customHeight="1">
      <c r="A70" s="42"/>
      <c r="B70" s="83"/>
      <c r="C70" s="84"/>
      <c r="D70" s="85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5"/>
      <c r="V70" s="86"/>
      <c r="W70" s="86"/>
      <c r="X70" s="87"/>
      <c r="Y70" s="44"/>
    </row>
    <row r="71" spans="1:25" ht="13.5" customHeight="1">
      <c r="A71" s="115"/>
      <c r="B71" s="39">
        <v>4</v>
      </c>
      <c r="C71" s="50" t="s">
        <v>114</v>
      </c>
      <c r="D71" s="51"/>
      <c r="E71" s="51"/>
      <c r="F71" s="50"/>
      <c r="G71" s="51"/>
      <c r="H71" s="52"/>
      <c r="I71" s="50" t="s">
        <v>87</v>
      </c>
      <c r="J71" s="51"/>
      <c r="K71" s="51"/>
      <c r="L71" s="51"/>
      <c r="M71" s="52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4"/>
      <c r="Y71" s="116"/>
    </row>
    <row r="72" spans="1:25" ht="13.5" customHeight="1">
      <c r="A72" s="115"/>
      <c r="B72" s="42"/>
      <c r="C72" s="39" t="s">
        <v>318</v>
      </c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1"/>
      <c r="Y72" s="116"/>
    </row>
    <row r="73" spans="1:25" ht="13.5" customHeight="1">
      <c r="A73" s="115"/>
      <c r="B73" s="42"/>
      <c r="C73" s="42"/>
      <c r="D73" s="55" t="s">
        <v>319</v>
      </c>
      <c r="E73" s="43" t="s">
        <v>117</v>
      </c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4"/>
      <c r="Y73" s="116"/>
    </row>
    <row r="74" spans="1:25" ht="13.5" customHeight="1">
      <c r="A74" s="115"/>
      <c r="B74" s="42"/>
      <c r="C74" s="56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8"/>
      <c r="Y74" s="116"/>
    </row>
    <row r="75" spans="1:25" ht="13.5" customHeight="1">
      <c r="A75" s="115"/>
      <c r="B75" s="42"/>
      <c r="C75" s="59" t="s">
        <v>178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1"/>
      <c r="Y75" s="116"/>
    </row>
    <row r="76" spans="1:25" ht="13.5" customHeight="1">
      <c r="A76" s="115"/>
      <c r="B76" s="42"/>
      <c r="C76" s="42"/>
      <c r="D76" s="55" t="s">
        <v>320</v>
      </c>
      <c r="E76" s="43" t="s">
        <v>120</v>
      </c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4"/>
      <c r="Y76" s="116"/>
    </row>
    <row r="77" spans="1:25" ht="13.5" customHeight="1">
      <c r="A77" s="115"/>
      <c r="B77" s="83"/>
      <c r="C77" s="84"/>
      <c r="D77" s="85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5"/>
      <c r="V77" s="86"/>
      <c r="W77" s="86"/>
      <c r="X77" s="87"/>
      <c r="Y77" s="116"/>
    </row>
    <row r="78" spans="1:25" ht="13.5" customHeight="1">
      <c r="A78" s="115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116"/>
    </row>
    <row r="79" spans="1:25" ht="13.5" customHeight="1">
      <c r="A79" s="115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116"/>
    </row>
    <row r="80" spans="1:25" ht="13.5" customHeight="1">
      <c r="A80" s="115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116"/>
    </row>
    <row r="81" spans="1:25" ht="13.5" customHeight="1">
      <c r="A81" s="115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116"/>
    </row>
    <row r="82" spans="1:25" ht="13.5" customHeight="1">
      <c r="A82" s="115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116"/>
    </row>
    <row r="83" spans="1:25" ht="13.5" customHeight="1">
      <c r="A83" s="115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116"/>
    </row>
    <row r="84" spans="1:25" ht="13.5" customHeight="1">
      <c r="A84" s="115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116"/>
    </row>
    <row r="85" spans="1:25" ht="13.5" customHeight="1">
      <c r="A85" s="115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116"/>
    </row>
    <row r="86" spans="1:25" ht="13.5" customHeight="1">
      <c r="A86" s="115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116"/>
    </row>
    <row r="87" spans="1:25" ht="13.5" customHeight="1">
      <c r="A87" s="115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116"/>
    </row>
    <row r="88" spans="1:25" ht="13.5" customHeight="1">
      <c r="A88" s="115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116"/>
    </row>
    <row r="89" spans="1:25" ht="13.5" customHeight="1">
      <c r="A89" s="115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116"/>
    </row>
    <row r="90" spans="1:25" ht="13.5" customHeight="1">
      <c r="A90" s="115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116"/>
    </row>
    <row r="91" spans="1:25" ht="13.5" customHeight="1">
      <c r="A91" s="115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116"/>
    </row>
    <row r="92" spans="1:25" ht="13.5" customHeight="1">
      <c r="A92" s="115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116"/>
    </row>
    <row r="93" spans="1:25" ht="13.5" customHeight="1">
      <c r="A93" s="115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116"/>
    </row>
    <row r="94" spans="1:25" ht="13.5" customHeight="1">
      <c r="A94" s="115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116"/>
    </row>
    <row r="95" spans="1:25" ht="13.5" customHeight="1">
      <c r="A95" s="115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116"/>
    </row>
    <row r="96" spans="1:25" ht="13.5" customHeight="1">
      <c r="A96" s="115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116"/>
    </row>
    <row r="97" spans="1:25" ht="13.5" customHeight="1">
      <c r="A97" s="115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116"/>
    </row>
    <row r="98" spans="1:25" ht="13.5" customHeight="1">
      <c r="A98" s="115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116"/>
    </row>
    <row r="99" spans="1:25" ht="13.5" customHeight="1">
      <c r="A99" s="115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116"/>
    </row>
    <row r="100" spans="1:25" ht="13.5" customHeight="1">
      <c r="A100" s="115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116"/>
    </row>
    <row r="101" spans="1:25" ht="13.5" customHeight="1">
      <c r="A101" s="115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116"/>
    </row>
    <row r="102" spans="1:25" ht="13.5" customHeight="1">
      <c r="A102" s="115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116"/>
    </row>
    <row r="103" spans="1:25" ht="13.5" customHeight="1">
      <c r="A103" s="88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90"/>
    </row>
    <row r="104" spans="1:25" ht="13.5" customHeight="1">
      <c r="A104" s="91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3"/>
    </row>
    <row r="105" spans="1:25" ht="13.5" customHeight="1">
      <c r="A105" s="42"/>
      <c r="B105" s="27" t="s">
        <v>132</v>
      </c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4"/>
    </row>
    <row r="106" spans="1:25" ht="13.5" customHeight="1">
      <c r="A106" s="42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4"/>
    </row>
    <row r="107" spans="1:25" ht="13.5" customHeight="1">
      <c r="A107" s="42"/>
      <c r="B107" s="117" t="s">
        <v>2</v>
      </c>
      <c r="C107" s="162" t="s">
        <v>12</v>
      </c>
      <c r="D107" s="163"/>
      <c r="E107" s="163"/>
      <c r="F107" s="163"/>
      <c r="G107" s="164"/>
      <c r="H107" s="118" t="s">
        <v>13</v>
      </c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 t="s">
        <v>18</v>
      </c>
      <c r="T107" s="119"/>
      <c r="U107" s="119"/>
      <c r="V107" s="119"/>
      <c r="W107" s="119"/>
      <c r="X107" s="120"/>
      <c r="Y107" s="44"/>
    </row>
    <row r="108" spans="1:25" ht="13.5" customHeight="1">
      <c r="A108" s="42"/>
      <c r="B108" s="121"/>
      <c r="C108" s="165"/>
      <c r="D108" s="166"/>
      <c r="E108" s="166"/>
      <c r="F108" s="166"/>
      <c r="G108" s="167"/>
      <c r="H108" s="118" t="s">
        <v>15</v>
      </c>
      <c r="I108" s="119"/>
      <c r="J108" s="119"/>
      <c r="K108" s="119"/>
      <c r="L108" s="119"/>
      <c r="M108" s="119"/>
      <c r="N108" s="119"/>
      <c r="O108" s="120"/>
      <c r="P108" s="122" t="s">
        <v>126</v>
      </c>
      <c r="Q108" s="122"/>
      <c r="R108" s="123"/>
      <c r="S108" s="118" t="s">
        <v>14</v>
      </c>
      <c r="T108" s="119"/>
      <c r="U108" s="119"/>
      <c r="V108" s="120"/>
      <c r="W108" s="119"/>
      <c r="X108" s="120"/>
      <c r="Y108" s="44"/>
    </row>
    <row r="109" spans="1:25" ht="13.5" customHeight="1">
      <c r="A109" s="42"/>
      <c r="B109" s="39">
        <v>1</v>
      </c>
      <c r="C109" s="154" t="s">
        <v>164</v>
      </c>
      <c r="D109" s="168"/>
      <c r="E109" s="168"/>
      <c r="F109" s="168"/>
      <c r="G109" s="169"/>
      <c r="H109" s="154" t="s">
        <v>300</v>
      </c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9"/>
      <c r="Y109" s="44"/>
    </row>
    <row r="110" spans="1:25" ht="13.5" customHeight="1">
      <c r="A110" s="42"/>
      <c r="B110" s="42"/>
      <c r="C110" s="173"/>
      <c r="D110" s="174"/>
      <c r="E110" s="174"/>
      <c r="F110" s="174"/>
      <c r="G110" s="175"/>
      <c r="H110" s="170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2"/>
      <c r="Y110" s="44"/>
    </row>
    <row r="111" spans="1:25" ht="13.5" customHeight="1">
      <c r="A111" s="42"/>
      <c r="B111" s="42"/>
      <c r="C111" s="173"/>
      <c r="D111" s="174"/>
      <c r="E111" s="174"/>
      <c r="F111" s="174"/>
      <c r="G111" s="175"/>
      <c r="H111" s="154" t="s">
        <v>222</v>
      </c>
      <c r="I111" s="155"/>
      <c r="J111" s="155"/>
      <c r="K111" s="155"/>
      <c r="L111" s="155"/>
      <c r="M111" s="155"/>
      <c r="N111" s="155"/>
      <c r="O111" s="156"/>
      <c r="P111" s="39" t="s">
        <v>211</v>
      </c>
      <c r="Q111" s="40"/>
      <c r="R111" s="41"/>
      <c r="S111" s="39" t="s">
        <v>224</v>
      </c>
      <c r="T111" s="40"/>
      <c r="U111" s="40"/>
      <c r="V111" s="40"/>
      <c r="W111" s="40"/>
      <c r="X111" s="41"/>
      <c r="Y111" s="44"/>
    </row>
    <row r="112" spans="1:25" ht="13.5" customHeight="1">
      <c r="A112" s="42"/>
      <c r="B112" s="42"/>
      <c r="C112" s="170"/>
      <c r="D112" s="171"/>
      <c r="E112" s="171"/>
      <c r="F112" s="171"/>
      <c r="G112" s="172"/>
      <c r="H112" s="157"/>
      <c r="I112" s="158"/>
      <c r="J112" s="158"/>
      <c r="K112" s="158"/>
      <c r="L112" s="158"/>
      <c r="M112" s="158"/>
      <c r="N112" s="158"/>
      <c r="O112" s="159"/>
      <c r="P112" s="42"/>
      <c r="Q112" s="43"/>
      <c r="R112" s="44"/>
      <c r="S112" s="42"/>
      <c r="T112" s="43"/>
      <c r="U112" s="43"/>
      <c r="V112" s="43"/>
      <c r="W112" s="43"/>
      <c r="X112" s="44"/>
      <c r="Y112" s="44"/>
    </row>
    <row r="113" spans="1:25" ht="13.5" customHeight="1">
      <c r="A113" s="42"/>
      <c r="B113" s="39">
        <v>2</v>
      </c>
      <c r="C113" s="154" t="s">
        <v>192</v>
      </c>
      <c r="D113" s="168"/>
      <c r="E113" s="168"/>
      <c r="F113" s="168"/>
      <c r="G113" s="169"/>
      <c r="H113" s="154" t="s">
        <v>169</v>
      </c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9"/>
      <c r="Y113" s="44"/>
    </row>
    <row r="114" spans="1:25" ht="13.5" customHeight="1">
      <c r="A114" s="42"/>
      <c r="B114" s="42"/>
      <c r="C114" s="173"/>
      <c r="D114" s="174"/>
      <c r="E114" s="174"/>
      <c r="F114" s="174"/>
      <c r="G114" s="175"/>
      <c r="H114" s="170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2"/>
      <c r="Y114" s="44"/>
    </row>
    <row r="115" spans="1:25" ht="13.5" customHeight="1">
      <c r="A115" s="42"/>
      <c r="B115" s="42"/>
      <c r="C115" s="173"/>
      <c r="D115" s="174"/>
      <c r="E115" s="174"/>
      <c r="F115" s="174"/>
      <c r="G115" s="175"/>
      <c r="H115" s="154" t="s">
        <v>222</v>
      </c>
      <c r="I115" s="155"/>
      <c r="J115" s="155"/>
      <c r="K115" s="155"/>
      <c r="L115" s="155"/>
      <c r="M115" s="155"/>
      <c r="N115" s="155"/>
      <c r="O115" s="156"/>
      <c r="P115" s="39" t="s">
        <v>205</v>
      </c>
      <c r="Q115" s="40"/>
      <c r="R115" s="41"/>
      <c r="S115" s="39" t="s">
        <v>224</v>
      </c>
      <c r="T115" s="40"/>
      <c r="U115" s="40"/>
      <c r="V115" s="40"/>
      <c r="W115" s="40"/>
      <c r="X115" s="41"/>
      <c r="Y115" s="44"/>
    </row>
    <row r="116" spans="1:25" ht="13.5" customHeight="1">
      <c r="A116" s="42"/>
      <c r="B116" s="84"/>
      <c r="C116" s="170"/>
      <c r="D116" s="171"/>
      <c r="E116" s="171"/>
      <c r="F116" s="171"/>
      <c r="G116" s="172"/>
      <c r="H116" s="157"/>
      <c r="I116" s="158"/>
      <c r="J116" s="158"/>
      <c r="K116" s="158"/>
      <c r="L116" s="158"/>
      <c r="M116" s="158"/>
      <c r="N116" s="158"/>
      <c r="O116" s="159"/>
      <c r="P116" s="84"/>
      <c r="Q116" s="86"/>
      <c r="R116" s="87"/>
      <c r="S116" s="84"/>
      <c r="T116" s="86"/>
      <c r="U116" s="86"/>
      <c r="V116" s="86"/>
      <c r="W116" s="86"/>
      <c r="X116" s="87"/>
      <c r="Y116" s="44"/>
    </row>
    <row r="117" spans="1:25" ht="13.5" customHeight="1">
      <c r="A117" s="42"/>
      <c r="B117" s="39">
        <v>3</v>
      </c>
      <c r="C117" s="154" t="s">
        <v>201</v>
      </c>
      <c r="D117" s="168"/>
      <c r="E117" s="168"/>
      <c r="F117" s="168"/>
      <c r="G117" s="169"/>
      <c r="H117" s="154" t="s">
        <v>170</v>
      </c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9"/>
      <c r="Y117" s="44"/>
    </row>
    <row r="118" spans="1:25" ht="13.5" customHeight="1">
      <c r="A118" s="42"/>
      <c r="B118" s="42"/>
      <c r="C118" s="173"/>
      <c r="D118" s="174"/>
      <c r="E118" s="174"/>
      <c r="F118" s="174"/>
      <c r="G118" s="175"/>
      <c r="H118" s="170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2"/>
      <c r="Y118" s="44"/>
    </row>
    <row r="119" spans="1:25" ht="13.5" customHeight="1">
      <c r="A119" s="42"/>
      <c r="B119" s="42"/>
      <c r="C119" s="173"/>
      <c r="D119" s="174"/>
      <c r="E119" s="174"/>
      <c r="F119" s="174"/>
      <c r="G119" s="175"/>
      <c r="H119" s="154" t="s">
        <v>222</v>
      </c>
      <c r="I119" s="155"/>
      <c r="J119" s="155"/>
      <c r="K119" s="155"/>
      <c r="L119" s="155"/>
      <c r="M119" s="155"/>
      <c r="N119" s="155"/>
      <c r="O119" s="156"/>
      <c r="P119" s="39" t="s">
        <v>202</v>
      </c>
      <c r="Q119" s="40"/>
      <c r="R119" s="41"/>
      <c r="S119" s="39" t="s">
        <v>224</v>
      </c>
      <c r="T119" s="40"/>
      <c r="U119" s="40"/>
      <c r="V119" s="40"/>
      <c r="W119" s="40"/>
      <c r="X119" s="41"/>
      <c r="Y119" s="44"/>
    </row>
    <row r="120" spans="1:25" ht="13.5" customHeight="1">
      <c r="A120" s="42"/>
      <c r="B120" s="42"/>
      <c r="C120" s="173"/>
      <c r="D120" s="174"/>
      <c r="E120" s="174"/>
      <c r="F120" s="174"/>
      <c r="G120" s="175"/>
      <c r="H120" s="157"/>
      <c r="I120" s="158"/>
      <c r="J120" s="158"/>
      <c r="K120" s="158"/>
      <c r="L120" s="158"/>
      <c r="M120" s="158"/>
      <c r="N120" s="158"/>
      <c r="O120" s="159"/>
      <c r="P120" s="84"/>
      <c r="Q120" s="86"/>
      <c r="R120" s="87"/>
      <c r="S120" s="84"/>
      <c r="T120" s="86"/>
      <c r="U120" s="86"/>
      <c r="V120" s="86"/>
      <c r="W120" s="86"/>
      <c r="X120" s="87"/>
      <c r="Y120" s="44"/>
    </row>
    <row r="121" spans="1:25" ht="13.5" customHeight="1">
      <c r="A121" s="42"/>
      <c r="B121" s="42"/>
      <c r="C121" s="173"/>
      <c r="D121" s="174"/>
      <c r="E121" s="174"/>
      <c r="F121" s="174"/>
      <c r="G121" s="175"/>
      <c r="H121" s="154" t="s">
        <v>171</v>
      </c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9"/>
      <c r="Y121" s="44"/>
    </row>
    <row r="122" spans="1:25" ht="13.5" customHeight="1">
      <c r="A122" s="42"/>
      <c r="B122" s="42"/>
      <c r="C122" s="173"/>
      <c r="D122" s="174"/>
      <c r="E122" s="174"/>
      <c r="F122" s="174"/>
      <c r="G122" s="175"/>
      <c r="H122" s="170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2"/>
      <c r="Y122" s="44"/>
    </row>
    <row r="123" spans="1:25" ht="13.5" customHeight="1">
      <c r="A123" s="42"/>
      <c r="B123" s="42"/>
      <c r="C123" s="173"/>
      <c r="D123" s="174"/>
      <c r="E123" s="174"/>
      <c r="F123" s="174"/>
      <c r="G123" s="175"/>
      <c r="H123" s="154" t="s">
        <v>222</v>
      </c>
      <c r="I123" s="155"/>
      <c r="J123" s="155"/>
      <c r="K123" s="155"/>
      <c r="L123" s="155"/>
      <c r="M123" s="155"/>
      <c r="N123" s="155"/>
      <c r="O123" s="156"/>
      <c r="P123" s="39" t="s">
        <v>202</v>
      </c>
      <c r="Q123" s="40"/>
      <c r="R123" s="41"/>
      <c r="S123" s="39" t="s">
        <v>224</v>
      </c>
      <c r="T123" s="40"/>
      <c r="U123" s="40"/>
      <c r="V123" s="40"/>
      <c r="W123" s="40"/>
      <c r="X123" s="41"/>
      <c r="Y123" s="44"/>
    </row>
    <row r="124" spans="1:25" ht="13.5" customHeight="1">
      <c r="A124" s="42"/>
      <c r="B124" s="42"/>
      <c r="C124" s="170"/>
      <c r="D124" s="171"/>
      <c r="E124" s="171"/>
      <c r="F124" s="171"/>
      <c r="G124" s="172"/>
      <c r="H124" s="157"/>
      <c r="I124" s="158"/>
      <c r="J124" s="158"/>
      <c r="K124" s="158"/>
      <c r="L124" s="158"/>
      <c r="M124" s="158"/>
      <c r="N124" s="158"/>
      <c r="O124" s="159"/>
      <c r="P124" s="84"/>
      <c r="Q124" s="86"/>
      <c r="R124" s="87"/>
      <c r="S124" s="84"/>
      <c r="T124" s="86"/>
      <c r="U124" s="86"/>
      <c r="V124" s="86"/>
      <c r="W124" s="86"/>
      <c r="X124" s="87"/>
      <c r="Y124" s="44"/>
    </row>
    <row r="125" spans="1:25" ht="13.5" customHeight="1">
      <c r="A125" s="42"/>
      <c r="B125" s="39">
        <v>4</v>
      </c>
      <c r="C125" s="154" t="s">
        <v>203</v>
      </c>
      <c r="D125" s="168"/>
      <c r="E125" s="168"/>
      <c r="F125" s="168"/>
      <c r="G125" s="169"/>
      <c r="H125" s="154" t="s">
        <v>172</v>
      </c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9"/>
      <c r="Y125" s="44"/>
    </row>
    <row r="126" spans="1:25" ht="13.5" customHeight="1">
      <c r="A126" s="42"/>
      <c r="B126" s="42"/>
      <c r="C126" s="173"/>
      <c r="D126" s="174"/>
      <c r="E126" s="174"/>
      <c r="F126" s="174"/>
      <c r="G126" s="175"/>
      <c r="H126" s="170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2"/>
      <c r="Y126" s="44"/>
    </row>
    <row r="127" spans="1:25" ht="13.5" customHeight="1">
      <c r="A127" s="42"/>
      <c r="B127" s="42"/>
      <c r="C127" s="173"/>
      <c r="D127" s="174"/>
      <c r="E127" s="174"/>
      <c r="F127" s="174"/>
      <c r="G127" s="175"/>
      <c r="H127" s="154" t="s">
        <v>222</v>
      </c>
      <c r="I127" s="155"/>
      <c r="J127" s="155"/>
      <c r="K127" s="155"/>
      <c r="L127" s="155"/>
      <c r="M127" s="155"/>
      <c r="N127" s="155"/>
      <c r="O127" s="156"/>
      <c r="P127" s="39" t="s">
        <v>204</v>
      </c>
      <c r="Q127" s="40"/>
      <c r="R127" s="41"/>
      <c r="S127" s="39" t="s">
        <v>224</v>
      </c>
      <c r="T127" s="40"/>
      <c r="U127" s="40"/>
      <c r="V127" s="40"/>
      <c r="W127" s="40"/>
      <c r="X127" s="41"/>
      <c r="Y127" s="44"/>
    </row>
    <row r="128" spans="1:25" ht="13.5" customHeight="1">
      <c r="A128" s="42"/>
      <c r="B128" s="42"/>
      <c r="C128" s="170"/>
      <c r="D128" s="171"/>
      <c r="E128" s="171"/>
      <c r="F128" s="171"/>
      <c r="G128" s="172"/>
      <c r="H128" s="157"/>
      <c r="I128" s="158"/>
      <c r="J128" s="158"/>
      <c r="K128" s="158"/>
      <c r="L128" s="158"/>
      <c r="M128" s="158"/>
      <c r="N128" s="158"/>
      <c r="O128" s="159"/>
      <c r="P128" s="84"/>
      <c r="Q128" s="86"/>
      <c r="R128" s="87"/>
      <c r="S128" s="84"/>
      <c r="T128" s="86"/>
      <c r="U128" s="86"/>
      <c r="V128" s="86"/>
      <c r="W128" s="86"/>
      <c r="X128" s="87"/>
      <c r="Y128" s="44"/>
    </row>
    <row r="129" spans="1:25" ht="13.5" customHeight="1">
      <c r="A129" s="42"/>
      <c r="B129" s="124">
        <v>5</v>
      </c>
      <c r="C129" s="154" t="s">
        <v>196</v>
      </c>
      <c r="D129" s="168"/>
      <c r="E129" s="168"/>
      <c r="F129" s="168"/>
      <c r="G129" s="169"/>
      <c r="H129" s="154" t="s">
        <v>280</v>
      </c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9"/>
      <c r="Y129" s="44"/>
    </row>
    <row r="130" spans="1:25" ht="13.5" customHeight="1">
      <c r="A130" s="42"/>
      <c r="B130" s="94"/>
      <c r="C130" s="173"/>
      <c r="D130" s="174"/>
      <c r="E130" s="174"/>
      <c r="F130" s="174"/>
      <c r="G130" s="175"/>
      <c r="H130" s="170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2"/>
      <c r="Y130" s="44"/>
    </row>
    <row r="131" spans="1:25" ht="13.5" customHeight="1">
      <c r="A131" s="42"/>
      <c r="B131" s="94"/>
      <c r="C131" s="173"/>
      <c r="D131" s="174"/>
      <c r="E131" s="174"/>
      <c r="F131" s="174"/>
      <c r="G131" s="175"/>
      <c r="H131" s="154" t="s">
        <v>222</v>
      </c>
      <c r="I131" s="155"/>
      <c r="J131" s="155"/>
      <c r="K131" s="155"/>
      <c r="L131" s="155"/>
      <c r="M131" s="155"/>
      <c r="N131" s="155"/>
      <c r="O131" s="156"/>
      <c r="P131" s="39" t="s">
        <v>212</v>
      </c>
      <c r="Q131" s="40"/>
      <c r="R131" s="41"/>
      <c r="S131" s="39" t="s">
        <v>224</v>
      </c>
      <c r="T131" s="40"/>
      <c r="U131" s="40"/>
      <c r="V131" s="40"/>
      <c r="W131" s="40"/>
      <c r="X131" s="41"/>
      <c r="Y131" s="44"/>
    </row>
    <row r="132" spans="1:25" ht="13.5" customHeight="1">
      <c r="A132" s="42"/>
      <c r="B132" s="83"/>
      <c r="C132" s="170"/>
      <c r="D132" s="171"/>
      <c r="E132" s="171"/>
      <c r="F132" s="171"/>
      <c r="G132" s="172"/>
      <c r="H132" s="157"/>
      <c r="I132" s="158"/>
      <c r="J132" s="158"/>
      <c r="K132" s="158"/>
      <c r="L132" s="158"/>
      <c r="M132" s="158"/>
      <c r="N132" s="158"/>
      <c r="O132" s="159"/>
      <c r="P132" s="84"/>
      <c r="Q132" s="86"/>
      <c r="R132" s="87"/>
      <c r="S132" s="84"/>
      <c r="T132" s="86"/>
      <c r="U132" s="86"/>
      <c r="V132" s="86"/>
      <c r="W132" s="86"/>
      <c r="X132" s="87"/>
      <c r="Y132" s="44"/>
    </row>
    <row r="133" spans="1:25" ht="13.5" customHeight="1">
      <c r="A133" s="115"/>
      <c r="B133" s="43" t="s">
        <v>227</v>
      </c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116"/>
    </row>
    <row r="134" spans="1:25" ht="13.5" customHeight="1">
      <c r="A134" s="115"/>
      <c r="B134" s="43" t="s">
        <v>228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116"/>
    </row>
    <row r="135" spans="1:25" ht="13.5" customHeight="1">
      <c r="A135" s="115"/>
      <c r="B135" s="29" t="s">
        <v>296</v>
      </c>
      <c r="C135" s="29"/>
      <c r="D135" s="125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8"/>
      <c r="X135" s="28"/>
      <c r="Y135" s="116"/>
    </row>
    <row r="136" spans="1:25" ht="13.5" customHeight="1">
      <c r="A136" s="115"/>
      <c r="B136" s="29"/>
      <c r="C136" s="126" t="s">
        <v>10</v>
      </c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1" t="s">
        <v>297</v>
      </c>
      <c r="O136" s="32"/>
      <c r="P136" s="32"/>
      <c r="Q136" s="32"/>
      <c r="R136" s="33"/>
      <c r="S136" s="29"/>
      <c r="T136" s="28"/>
      <c r="U136" s="28"/>
      <c r="V136" s="29"/>
      <c r="W136" s="28"/>
      <c r="X136" s="28"/>
      <c r="Y136" s="116"/>
    </row>
    <row r="137" spans="1:25" ht="13.5" customHeight="1">
      <c r="A137" s="115"/>
      <c r="B137" s="29"/>
      <c r="C137" s="127" t="s">
        <v>299</v>
      </c>
      <c r="D137" s="34"/>
      <c r="E137" s="34"/>
      <c r="F137" s="34"/>
      <c r="G137" s="34"/>
      <c r="H137" s="34"/>
      <c r="I137" s="34"/>
      <c r="J137" s="34"/>
      <c r="K137" s="34"/>
      <c r="L137" s="34"/>
      <c r="M137" s="35"/>
      <c r="N137" s="36" t="s">
        <v>298</v>
      </c>
      <c r="O137" s="37"/>
      <c r="P137" s="37"/>
      <c r="Q137" s="37"/>
      <c r="R137" s="38"/>
      <c r="S137" s="29"/>
      <c r="T137" s="28"/>
      <c r="U137" s="28"/>
      <c r="V137" s="29"/>
      <c r="W137" s="28"/>
      <c r="X137" s="28"/>
      <c r="Y137" s="116"/>
    </row>
    <row r="138" spans="1:25" ht="13.5" customHeight="1">
      <c r="A138" s="115"/>
      <c r="B138" s="43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116"/>
    </row>
    <row r="139" spans="1:25" ht="13.5" customHeight="1">
      <c r="A139" s="115"/>
      <c r="B139" s="43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116"/>
    </row>
    <row r="140" spans="1:25" ht="13.5" customHeight="1">
      <c r="A140" s="115"/>
      <c r="B140" s="43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116"/>
    </row>
    <row r="141" spans="1:25" ht="13.5" customHeight="1">
      <c r="A141" s="115"/>
      <c r="B141" s="43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116"/>
    </row>
    <row r="142" spans="1:25" ht="13.5" customHeight="1">
      <c r="A142" s="115"/>
      <c r="B142" s="43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116"/>
    </row>
    <row r="143" spans="1:25" ht="13.5" customHeight="1">
      <c r="A143" s="115"/>
      <c r="B143" s="43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116"/>
    </row>
    <row r="144" spans="1:25" ht="13.5" customHeight="1">
      <c r="A144" s="115"/>
      <c r="B144" s="43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116"/>
    </row>
    <row r="145" spans="1:25" ht="13.5" customHeight="1">
      <c r="A145" s="115"/>
      <c r="B145" s="43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116"/>
    </row>
    <row r="146" spans="1:25" ht="13.5" customHeight="1">
      <c r="A146" s="115"/>
      <c r="B146" s="43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116"/>
    </row>
    <row r="147" spans="1:25" ht="13.5" customHeight="1">
      <c r="A147" s="115"/>
      <c r="B147" s="43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116"/>
    </row>
    <row r="148" spans="1:25" ht="13.5" customHeight="1">
      <c r="A148" s="115"/>
      <c r="B148" s="43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116"/>
    </row>
    <row r="149" spans="1:25" ht="13.5" customHeight="1">
      <c r="A149" s="115"/>
      <c r="B149" s="43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116"/>
    </row>
    <row r="150" spans="1:25" ht="13.5" customHeight="1">
      <c r="A150" s="115"/>
      <c r="B150" s="43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116"/>
    </row>
    <row r="151" spans="1:25" ht="13.5" customHeight="1">
      <c r="A151" s="115"/>
      <c r="B151" s="43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116"/>
    </row>
    <row r="152" spans="1:25" ht="13.5" customHeight="1">
      <c r="A152" s="115"/>
      <c r="B152" s="43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116"/>
    </row>
    <row r="153" spans="1:25" ht="13.5" customHeight="1">
      <c r="A153" s="115"/>
      <c r="B153" s="43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116"/>
    </row>
    <row r="154" spans="1:25" ht="13.5" customHeight="1">
      <c r="A154" s="115"/>
      <c r="B154" s="43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116"/>
    </row>
    <row r="155" spans="1:25" ht="13.5" customHeight="1">
      <c r="A155" s="84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7"/>
    </row>
  </sheetData>
  <mergeCells count="25">
    <mergeCell ref="D1:Y1"/>
    <mergeCell ref="D2:Y2"/>
    <mergeCell ref="A3:Y3"/>
    <mergeCell ref="A4:Y5"/>
    <mergeCell ref="C113:G116"/>
    <mergeCell ref="D6:Y6"/>
    <mergeCell ref="B62:B63"/>
    <mergeCell ref="H109:X110"/>
    <mergeCell ref="B10:B11"/>
    <mergeCell ref="C107:G108"/>
    <mergeCell ref="C109:G112"/>
    <mergeCell ref="H111:O112"/>
    <mergeCell ref="H113:X114"/>
    <mergeCell ref="H115:O116"/>
    <mergeCell ref="H131:O132"/>
    <mergeCell ref="C129:G132"/>
    <mergeCell ref="H123:O124"/>
    <mergeCell ref="C117:G124"/>
    <mergeCell ref="H125:X126"/>
    <mergeCell ref="H127:O128"/>
    <mergeCell ref="H117:X118"/>
    <mergeCell ref="H119:O120"/>
    <mergeCell ref="H121:X122"/>
    <mergeCell ref="H129:X130"/>
    <mergeCell ref="C125:G128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&amp;C3.1.10-&amp;P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5"/>
  <sheetViews>
    <sheetView view="pageBreakPreview" zoomScaleNormal="100" zoomScaleSheetLayoutView="100" workbookViewId="0">
      <pane ySplit="6" topLeftCell="A7" activePane="bottomLeft" state="frozen"/>
      <selection activeCell="AE163" sqref="AE163"/>
      <selection pane="bottomLeft" activeCell="B64" sqref="B64:H70"/>
    </sheetView>
  </sheetViews>
  <sheetFormatPr defaultColWidth="3.6640625" defaultRowHeight="13.5" customHeight="1"/>
  <cols>
    <col min="1" max="16384" width="3.6640625" style="12"/>
  </cols>
  <sheetData>
    <row r="1" spans="1:25" ht="13.5" customHeight="1">
      <c r="A1" s="25" t="s">
        <v>7</v>
      </c>
      <c r="B1" s="26"/>
      <c r="C1" s="26"/>
      <c r="D1" s="142" t="str">
        <f>目次!D1</f>
        <v>備蓄品管理システム</v>
      </c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 t="s">
        <v>237</v>
      </c>
      <c r="U1" s="143"/>
      <c r="V1" s="143" t="s">
        <v>238</v>
      </c>
      <c r="W1" s="143"/>
      <c r="X1" s="143"/>
      <c r="Y1" s="144"/>
    </row>
    <row r="2" spans="1:25" ht="13.5" customHeight="1">
      <c r="A2" s="25" t="str">
        <f>目次!A2</f>
        <v>章番号</v>
      </c>
      <c r="B2" s="26"/>
      <c r="C2" s="26"/>
      <c r="D2" s="142" t="str">
        <f>目次!D2</f>
        <v>第３章　機能設計</v>
      </c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 t="s">
        <v>5</v>
      </c>
      <c r="U2" s="143"/>
      <c r="V2" s="143">
        <v>42398</v>
      </c>
      <c r="W2" s="143"/>
      <c r="X2" s="143"/>
      <c r="Y2" s="144"/>
    </row>
    <row r="3" spans="1:25" ht="13.5" customHeight="1">
      <c r="A3" s="145" t="str">
        <f>目次!A3</f>
        <v>機能名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 t="s">
        <v>4</v>
      </c>
      <c r="U3" s="146"/>
      <c r="V3" s="146" t="s">
        <v>8</v>
      </c>
      <c r="W3" s="146"/>
      <c r="X3" s="146"/>
      <c r="Y3" s="147"/>
    </row>
    <row r="4" spans="1:25" ht="13.5" customHeight="1">
      <c r="A4" s="148" t="str">
        <f>目次!A4</f>
        <v>３．１．１０　災害一覧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 t="s">
        <v>16</v>
      </c>
      <c r="U4" s="149"/>
      <c r="V4" s="149" t="s">
        <v>239</v>
      </c>
      <c r="W4" s="149"/>
      <c r="X4" s="149"/>
      <c r="Y4" s="150"/>
    </row>
    <row r="5" spans="1:25" ht="13.5" customHeight="1">
      <c r="A5" s="151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 t="s">
        <v>6</v>
      </c>
      <c r="U5" s="152"/>
      <c r="V5" s="152"/>
      <c r="W5" s="152"/>
      <c r="X5" s="152"/>
      <c r="Y5" s="153"/>
    </row>
    <row r="6" spans="1:25" ht="13.5" customHeight="1">
      <c r="A6" s="25" t="s">
        <v>9</v>
      </c>
      <c r="B6" s="26"/>
      <c r="C6" s="26"/>
      <c r="D6" s="182" t="str">
        <f>目次!D12</f>
        <v>３．１．１０．３　災害詳細</v>
      </c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 t="s">
        <v>240</v>
      </c>
      <c r="P6" s="183"/>
      <c r="Q6" s="183"/>
      <c r="R6" s="183"/>
      <c r="S6" s="183"/>
      <c r="T6" s="183"/>
      <c r="U6" s="183"/>
      <c r="V6" s="183"/>
      <c r="W6" s="183"/>
      <c r="X6" s="183"/>
      <c r="Y6" s="184"/>
    </row>
    <row r="7" spans="1:25" ht="13.5" customHeight="1">
      <c r="A7" s="39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1"/>
    </row>
    <row r="8" spans="1:25" ht="13.5" customHeight="1">
      <c r="A8" s="42"/>
      <c r="B8" s="27" t="s">
        <v>149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4"/>
    </row>
    <row r="9" spans="1:25" ht="13.5" customHeight="1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4"/>
    </row>
    <row r="10" spans="1:25" ht="13.5" customHeight="1">
      <c r="A10" s="42"/>
      <c r="B10" s="160" t="s">
        <v>2</v>
      </c>
      <c r="C10" s="45" t="s">
        <v>10</v>
      </c>
      <c r="D10" s="46"/>
      <c r="E10" s="46"/>
      <c r="F10" s="46"/>
      <c r="G10" s="46"/>
      <c r="H10" s="47"/>
      <c r="I10" s="45" t="s">
        <v>3</v>
      </c>
      <c r="J10" s="46"/>
      <c r="K10" s="46"/>
      <c r="L10" s="46"/>
      <c r="M10" s="47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9"/>
      <c r="Y10" s="44"/>
    </row>
    <row r="11" spans="1:25" ht="13.5" customHeight="1">
      <c r="A11" s="42"/>
      <c r="B11" s="161"/>
      <c r="C11" s="45" t="s">
        <v>11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7"/>
      <c r="Y11" s="44"/>
    </row>
    <row r="12" spans="1:25" ht="13.5" customHeight="1">
      <c r="A12" s="42"/>
      <c r="B12" s="39">
        <v>1</v>
      </c>
      <c r="C12" s="50" t="s">
        <v>36</v>
      </c>
      <c r="D12" s="51"/>
      <c r="E12" s="51"/>
      <c r="F12" s="50"/>
      <c r="G12" s="51"/>
      <c r="H12" s="52"/>
      <c r="I12" s="50" t="s">
        <v>37</v>
      </c>
      <c r="J12" s="51"/>
      <c r="K12" s="51"/>
      <c r="L12" s="51"/>
      <c r="M12" s="52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4"/>
      <c r="Y12" s="44"/>
    </row>
    <row r="13" spans="1:25" ht="13.5" customHeight="1">
      <c r="A13" s="42"/>
      <c r="B13" s="42"/>
      <c r="C13" s="39" t="s">
        <v>38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1"/>
      <c r="Y13" s="44"/>
    </row>
    <row r="14" spans="1:25" ht="13.5" customHeight="1">
      <c r="A14" s="42"/>
      <c r="B14" s="42"/>
      <c r="C14" s="42"/>
      <c r="D14" s="55" t="s">
        <v>39</v>
      </c>
      <c r="E14" s="43" t="s">
        <v>133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4"/>
      <c r="Y14" s="44"/>
    </row>
    <row r="15" spans="1:25" ht="13.5" customHeight="1">
      <c r="A15" s="42"/>
      <c r="B15" s="42"/>
      <c r="C15" s="42"/>
      <c r="D15" s="55" t="s">
        <v>40</v>
      </c>
      <c r="E15" s="43" t="s">
        <v>154</v>
      </c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4"/>
      <c r="Y15" s="44"/>
    </row>
    <row r="16" spans="1:25" ht="13.5" customHeight="1">
      <c r="A16" s="42"/>
      <c r="B16" s="42"/>
      <c r="C16" s="42"/>
      <c r="D16" s="55" t="s">
        <v>198</v>
      </c>
      <c r="E16" s="43" t="s">
        <v>185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4"/>
      <c r="Y16" s="44"/>
    </row>
    <row r="17" spans="1:25" ht="13.5" customHeight="1">
      <c r="A17" s="42"/>
      <c r="B17" s="42"/>
      <c r="C17" s="56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8"/>
      <c r="Y17" s="44"/>
    </row>
    <row r="18" spans="1:25" ht="13.5" customHeight="1">
      <c r="A18" s="42"/>
      <c r="B18" s="42"/>
      <c r="C18" s="59" t="s">
        <v>42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1"/>
      <c r="Y18" s="44"/>
    </row>
    <row r="19" spans="1:25" ht="13.5" customHeight="1">
      <c r="A19" s="42"/>
      <c r="B19" s="42"/>
      <c r="C19" s="42"/>
      <c r="D19" s="55" t="s">
        <v>301</v>
      </c>
      <c r="E19" s="43" t="s">
        <v>290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62"/>
      <c r="W19" s="43"/>
      <c r="X19" s="44"/>
      <c r="Y19" s="44"/>
    </row>
    <row r="20" spans="1:25" ht="13.5" customHeight="1">
      <c r="A20" s="42"/>
      <c r="B20" s="42"/>
      <c r="C20" s="42"/>
      <c r="D20" s="55"/>
      <c r="E20" s="43"/>
      <c r="F20" s="43" t="s">
        <v>304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62"/>
      <c r="W20" s="43"/>
      <c r="X20" s="44"/>
      <c r="Y20" s="44"/>
    </row>
    <row r="21" spans="1:25" ht="13.5" customHeight="1">
      <c r="A21" s="42"/>
      <c r="B21" s="42"/>
      <c r="C21" s="42"/>
      <c r="D21" s="55"/>
      <c r="E21" s="43"/>
      <c r="F21" s="43" t="s">
        <v>305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62"/>
      <c r="W21" s="43"/>
      <c r="X21" s="44"/>
      <c r="Y21" s="44"/>
    </row>
    <row r="22" spans="1:25" ht="13.5" customHeight="1">
      <c r="A22" s="42"/>
      <c r="B22" s="42"/>
      <c r="C22" s="42"/>
      <c r="D22" s="55" t="s">
        <v>302</v>
      </c>
      <c r="E22" s="43" t="s">
        <v>134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62"/>
      <c r="W22" s="43"/>
      <c r="X22" s="44"/>
      <c r="Y22" s="44"/>
    </row>
    <row r="23" spans="1:25" ht="13.5" customHeight="1">
      <c r="A23" s="42"/>
      <c r="B23" s="42"/>
      <c r="C23" s="42"/>
      <c r="D23" s="55" t="s">
        <v>289</v>
      </c>
      <c r="E23" s="43" t="s">
        <v>311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4"/>
      <c r="Y23" s="44"/>
    </row>
    <row r="24" spans="1:25" ht="13.5" customHeight="1">
      <c r="A24" s="42"/>
      <c r="B24" s="42"/>
      <c r="C24" s="42"/>
      <c r="D24" s="55" t="s">
        <v>291</v>
      </c>
      <c r="E24" s="43" t="s">
        <v>312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4"/>
      <c r="Y24" s="44"/>
    </row>
    <row r="25" spans="1:25" ht="13.5" customHeight="1">
      <c r="A25" s="42"/>
      <c r="B25" s="42"/>
      <c r="C25" s="56"/>
      <c r="D25" s="70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70"/>
      <c r="V25" s="57"/>
      <c r="W25" s="57"/>
      <c r="X25" s="58"/>
      <c r="Y25" s="44"/>
    </row>
    <row r="26" spans="1:25" ht="13.5" customHeight="1">
      <c r="A26" s="42"/>
      <c r="B26" s="39">
        <v>2</v>
      </c>
      <c r="C26" s="50" t="s">
        <v>135</v>
      </c>
      <c r="D26" s="51"/>
      <c r="E26" s="51"/>
      <c r="F26" s="51"/>
      <c r="G26" s="51"/>
      <c r="H26" s="52"/>
      <c r="I26" s="50" t="s">
        <v>19</v>
      </c>
      <c r="J26" s="51"/>
      <c r="K26" s="51"/>
      <c r="L26" s="51"/>
      <c r="M26" s="52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4"/>
      <c r="Y26" s="44"/>
    </row>
    <row r="27" spans="1:25" ht="13.5" customHeight="1">
      <c r="A27" s="42"/>
      <c r="B27" s="42"/>
      <c r="C27" s="39" t="s">
        <v>50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1"/>
      <c r="Y27" s="44"/>
    </row>
    <row r="28" spans="1:25" ht="13.5" customHeight="1">
      <c r="A28" s="42"/>
      <c r="B28" s="42"/>
      <c r="C28" s="42"/>
      <c r="D28" s="55" t="s">
        <v>51</v>
      </c>
      <c r="E28" s="43" t="s">
        <v>136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4"/>
      <c r="Y28" s="44"/>
    </row>
    <row r="29" spans="1:25" ht="13.5" customHeight="1">
      <c r="A29" s="42"/>
      <c r="B29" s="42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8"/>
      <c r="Y29" s="44"/>
    </row>
    <row r="30" spans="1:25" ht="13.5" customHeight="1">
      <c r="A30" s="42"/>
      <c r="B30" s="42"/>
      <c r="C30" s="59" t="s">
        <v>137</v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1"/>
      <c r="Y30" s="44"/>
    </row>
    <row r="31" spans="1:25" ht="13.5" customHeight="1">
      <c r="A31" s="42"/>
      <c r="B31" s="42"/>
      <c r="C31" s="42"/>
      <c r="D31" s="55" t="s">
        <v>54</v>
      </c>
      <c r="E31" s="43" t="s">
        <v>313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4"/>
      <c r="Y31" s="44"/>
    </row>
    <row r="32" spans="1:25" ht="13.5" customHeight="1">
      <c r="A32" s="42"/>
      <c r="B32" s="42"/>
      <c r="C32" s="84"/>
      <c r="D32" s="8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5"/>
      <c r="V32" s="86"/>
      <c r="W32" s="86"/>
      <c r="X32" s="87"/>
      <c r="Y32" s="44"/>
    </row>
    <row r="33" spans="1:25" ht="13.5" customHeight="1">
      <c r="A33" s="42"/>
      <c r="B33" s="39">
        <v>3</v>
      </c>
      <c r="C33" s="50" t="s">
        <v>138</v>
      </c>
      <c r="D33" s="51"/>
      <c r="E33" s="51"/>
      <c r="F33" s="50"/>
      <c r="G33" s="51"/>
      <c r="H33" s="52"/>
      <c r="I33" s="50" t="s">
        <v>19</v>
      </c>
      <c r="J33" s="51"/>
      <c r="K33" s="51"/>
      <c r="L33" s="51"/>
      <c r="M33" s="52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4"/>
      <c r="Y33" s="44"/>
    </row>
    <row r="34" spans="1:25" ht="13.5" customHeight="1">
      <c r="A34" s="42"/>
      <c r="B34" s="42"/>
      <c r="C34" s="39" t="s">
        <v>63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1"/>
      <c r="Y34" s="44"/>
    </row>
    <row r="35" spans="1:25" ht="13.5" customHeight="1">
      <c r="A35" s="42"/>
      <c r="B35" s="42"/>
      <c r="C35" s="42"/>
      <c r="D35" s="55" t="s">
        <v>64</v>
      </c>
      <c r="E35" s="43" t="s">
        <v>139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4"/>
      <c r="Y35" s="44"/>
    </row>
    <row r="36" spans="1:25" ht="13.5" customHeight="1">
      <c r="A36" s="42"/>
      <c r="B36" s="42"/>
      <c r="C36" s="56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8"/>
      <c r="Y36" s="44"/>
    </row>
    <row r="37" spans="1:25" ht="13.5" customHeight="1">
      <c r="A37" s="42"/>
      <c r="B37" s="42"/>
      <c r="C37" s="59" t="s">
        <v>140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1"/>
      <c r="Y37" s="44"/>
    </row>
    <row r="38" spans="1:25" ht="13.5" customHeight="1">
      <c r="A38" s="42"/>
      <c r="B38" s="42"/>
      <c r="C38" s="42"/>
      <c r="D38" s="55" t="s">
        <v>141</v>
      </c>
      <c r="E38" s="43" t="s">
        <v>218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62"/>
      <c r="W38" s="43"/>
      <c r="X38" s="44"/>
      <c r="Y38" s="44"/>
    </row>
    <row r="39" spans="1:25" ht="13.5" customHeight="1">
      <c r="A39" s="42"/>
      <c r="B39" s="42"/>
      <c r="C39" s="42"/>
      <c r="D39" s="55"/>
      <c r="E39" s="43"/>
      <c r="F39" s="43" t="s">
        <v>142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4"/>
      <c r="Y39" s="44"/>
    </row>
    <row r="40" spans="1:25" ht="13.5" customHeight="1">
      <c r="A40" s="42"/>
      <c r="B40" s="42"/>
      <c r="C40" s="42"/>
      <c r="D40" s="55"/>
      <c r="E40" s="43"/>
      <c r="F40" s="43"/>
      <c r="G40" s="43" t="s">
        <v>143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4"/>
      <c r="Y40" s="44"/>
    </row>
    <row r="41" spans="1:25" ht="13.5" customHeight="1">
      <c r="A41" s="42"/>
      <c r="B41" s="42"/>
      <c r="C41" s="42"/>
      <c r="D41" s="55"/>
      <c r="E41" s="43"/>
      <c r="F41" s="43"/>
      <c r="G41" s="43" t="s">
        <v>144</v>
      </c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4"/>
      <c r="Y41" s="44"/>
    </row>
    <row r="42" spans="1:25" ht="13.5" customHeight="1">
      <c r="A42" s="42"/>
      <c r="B42" s="42"/>
      <c r="C42" s="42"/>
      <c r="D42" s="55" t="s">
        <v>145</v>
      </c>
      <c r="E42" s="43" t="s">
        <v>214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4"/>
      <c r="Y42" s="44"/>
    </row>
    <row r="43" spans="1:25" ht="13.5" customHeight="1">
      <c r="A43" s="42"/>
      <c r="B43" s="42"/>
      <c r="C43" s="42"/>
      <c r="D43" s="55"/>
      <c r="E43" s="43"/>
      <c r="F43" s="43" t="s">
        <v>217</v>
      </c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4"/>
      <c r="Y43" s="44"/>
    </row>
    <row r="44" spans="1:25" ht="13.5" customHeight="1">
      <c r="A44" s="42"/>
      <c r="B44" s="42"/>
      <c r="C44" s="42"/>
      <c r="D44" s="55" t="s">
        <v>273</v>
      </c>
      <c r="E44" s="43" t="s">
        <v>281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4"/>
      <c r="Y44" s="44"/>
    </row>
    <row r="45" spans="1:25" ht="13.5" customHeight="1">
      <c r="A45" s="42"/>
      <c r="B45" s="42"/>
      <c r="C45" s="42"/>
      <c r="D45" s="55"/>
      <c r="E45" s="43"/>
      <c r="F45" s="43" t="s">
        <v>282</v>
      </c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4"/>
      <c r="Y45" s="44"/>
    </row>
    <row r="46" spans="1:25" ht="13.5" customHeight="1">
      <c r="A46" s="42"/>
      <c r="B46" s="42"/>
      <c r="C46" s="42"/>
      <c r="D46" s="55" t="s">
        <v>274</v>
      </c>
      <c r="E46" s="43" t="s">
        <v>146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4"/>
      <c r="Y46" s="44"/>
    </row>
    <row r="47" spans="1:25" ht="13.5" customHeight="1">
      <c r="A47" s="42"/>
      <c r="B47" s="42"/>
      <c r="C47" s="42"/>
      <c r="D47" s="55"/>
      <c r="E47" s="43"/>
      <c r="F47" s="43" t="s">
        <v>148</v>
      </c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4"/>
      <c r="Y47" s="44"/>
    </row>
    <row r="48" spans="1:25" ht="13.5" customHeight="1">
      <c r="A48" s="42"/>
      <c r="B48" s="42"/>
      <c r="C48" s="42"/>
      <c r="D48" s="55" t="s">
        <v>275</v>
      </c>
      <c r="E48" s="43" t="s">
        <v>147</v>
      </c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4"/>
      <c r="Y48" s="44"/>
    </row>
    <row r="49" spans="1:25" ht="13.5" customHeight="1">
      <c r="A49" s="42"/>
      <c r="B49" s="42"/>
      <c r="C49" s="42"/>
      <c r="D49" s="55" t="s">
        <v>276</v>
      </c>
      <c r="E49" s="43" t="s">
        <v>219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4"/>
      <c r="Y49" s="44"/>
    </row>
    <row r="50" spans="1:25" ht="13.5" customHeight="1">
      <c r="A50" s="42"/>
      <c r="B50" s="42"/>
      <c r="C50" s="42"/>
      <c r="D50" s="55"/>
      <c r="E50" s="43"/>
      <c r="F50" s="43" t="s">
        <v>155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4"/>
      <c r="Y50" s="44"/>
    </row>
    <row r="51" spans="1:25" ht="13.5" customHeight="1">
      <c r="A51" s="42"/>
      <c r="B51" s="42"/>
      <c r="C51" s="42"/>
      <c r="D51" s="55" t="s">
        <v>277</v>
      </c>
      <c r="E51" s="43" t="s">
        <v>156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4"/>
      <c r="Y51" s="44"/>
    </row>
    <row r="52" spans="1:25" ht="13.5" customHeight="1">
      <c r="A52" s="42"/>
      <c r="B52" s="84"/>
      <c r="C52" s="84"/>
      <c r="D52" s="85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7"/>
      <c r="Y52" s="44"/>
    </row>
    <row r="53" spans="1:25" ht="13.5" customHeight="1">
      <c r="A53" s="115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116"/>
    </row>
    <row r="54" spans="1:25" ht="13.5" customHeight="1">
      <c r="A54" s="115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116"/>
    </row>
    <row r="55" spans="1:25" ht="13.5" customHeight="1">
      <c r="A55" s="115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116"/>
    </row>
    <row r="56" spans="1:25" ht="13.5" customHeight="1">
      <c r="A56" s="115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116"/>
    </row>
    <row r="57" spans="1:25" ht="13.5" customHeight="1">
      <c r="A57" s="115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116"/>
    </row>
    <row r="58" spans="1:25" ht="13.5" customHeight="1">
      <c r="A58" s="84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7"/>
    </row>
    <row r="59" spans="1:25" ht="13.5" customHeight="1">
      <c r="A59" s="39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1"/>
    </row>
    <row r="60" spans="1:25" ht="13.5" customHeight="1">
      <c r="A60" s="42"/>
      <c r="B60" s="27" t="s">
        <v>150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4"/>
    </row>
    <row r="61" spans="1:25" ht="13.5" customHeight="1">
      <c r="A61" s="42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4"/>
    </row>
    <row r="62" spans="1:25" ht="13.5" customHeight="1">
      <c r="A62" s="42"/>
      <c r="B62" s="160" t="s">
        <v>2</v>
      </c>
      <c r="C62" s="45" t="s">
        <v>10</v>
      </c>
      <c r="D62" s="46"/>
      <c r="E62" s="46"/>
      <c r="F62" s="46"/>
      <c r="G62" s="46"/>
      <c r="H62" s="47"/>
      <c r="I62" s="45" t="s">
        <v>3</v>
      </c>
      <c r="J62" s="46"/>
      <c r="K62" s="46"/>
      <c r="L62" s="46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9"/>
      <c r="Y62" s="44"/>
    </row>
    <row r="63" spans="1:25" ht="13.5" customHeight="1">
      <c r="A63" s="42"/>
      <c r="B63" s="161"/>
      <c r="C63" s="45" t="s">
        <v>11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7"/>
      <c r="Y63" s="44"/>
    </row>
    <row r="64" spans="1:25" ht="13.5" customHeight="1">
      <c r="A64" s="115"/>
      <c r="B64" s="39">
        <v>4</v>
      </c>
      <c r="C64" s="50" t="s">
        <v>114</v>
      </c>
      <c r="D64" s="51"/>
      <c r="E64" s="51"/>
      <c r="F64" s="50"/>
      <c r="G64" s="51"/>
      <c r="H64" s="52"/>
      <c r="I64" s="50" t="s">
        <v>87</v>
      </c>
      <c r="J64" s="51"/>
      <c r="K64" s="51"/>
      <c r="L64" s="51"/>
      <c r="M64" s="52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4"/>
      <c r="Y64" s="116"/>
    </row>
    <row r="65" spans="1:25" ht="13.5" customHeight="1">
      <c r="A65" s="115"/>
      <c r="B65" s="42"/>
      <c r="C65" s="39" t="s">
        <v>318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1"/>
      <c r="Y65" s="116"/>
    </row>
    <row r="66" spans="1:25" ht="13.5" customHeight="1">
      <c r="A66" s="115"/>
      <c r="B66" s="42"/>
      <c r="C66" s="42"/>
      <c r="D66" s="55" t="s">
        <v>319</v>
      </c>
      <c r="E66" s="43" t="s">
        <v>117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4"/>
      <c r="Y66" s="116"/>
    </row>
    <row r="67" spans="1:25" ht="13.5" customHeight="1">
      <c r="A67" s="115"/>
      <c r="B67" s="42"/>
      <c r="C67" s="56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8"/>
      <c r="Y67" s="116"/>
    </row>
    <row r="68" spans="1:25" ht="13.5" customHeight="1">
      <c r="A68" s="115"/>
      <c r="B68" s="42"/>
      <c r="C68" s="59" t="s">
        <v>178</v>
      </c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1"/>
      <c r="Y68" s="116"/>
    </row>
    <row r="69" spans="1:25" ht="13.5" customHeight="1">
      <c r="A69" s="115"/>
      <c r="B69" s="42"/>
      <c r="C69" s="42"/>
      <c r="D69" s="55" t="s">
        <v>320</v>
      </c>
      <c r="E69" s="43" t="s">
        <v>120</v>
      </c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4"/>
      <c r="Y69" s="116"/>
    </row>
    <row r="70" spans="1:25" ht="13.5" customHeight="1">
      <c r="A70" s="115"/>
      <c r="B70" s="83"/>
      <c r="C70" s="84"/>
      <c r="D70" s="85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5"/>
      <c r="V70" s="86"/>
      <c r="W70" s="86"/>
      <c r="X70" s="87"/>
      <c r="Y70" s="116"/>
    </row>
    <row r="71" spans="1:25" ht="13.5" customHeight="1">
      <c r="A71" s="115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116"/>
    </row>
    <row r="72" spans="1:25" ht="13.5" customHeight="1">
      <c r="A72" s="115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116"/>
    </row>
    <row r="73" spans="1:25" ht="13.5" customHeight="1">
      <c r="A73" s="115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116"/>
    </row>
    <row r="74" spans="1:25" ht="13.5" customHeight="1">
      <c r="A74" s="115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116"/>
    </row>
    <row r="75" spans="1:25" ht="13.5" customHeight="1">
      <c r="A75" s="115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116"/>
    </row>
    <row r="76" spans="1:25" ht="13.5" customHeight="1">
      <c r="A76" s="115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116"/>
    </row>
    <row r="77" spans="1:25" ht="13.5" customHeight="1">
      <c r="A77" s="115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116"/>
    </row>
    <row r="78" spans="1:25" ht="13.5" customHeight="1">
      <c r="A78" s="115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116"/>
    </row>
    <row r="79" spans="1:25" ht="13.5" customHeight="1">
      <c r="A79" s="115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116"/>
    </row>
    <row r="80" spans="1:25" ht="13.5" customHeight="1">
      <c r="A80" s="115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116"/>
    </row>
    <row r="81" spans="1:25" ht="13.5" customHeight="1">
      <c r="A81" s="115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116"/>
    </row>
    <row r="82" spans="1:25" ht="13.5" customHeight="1">
      <c r="A82" s="115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116"/>
    </row>
    <row r="83" spans="1:25" ht="13.5" customHeight="1">
      <c r="A83" s="115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116"/>
    </row>
    <row r="84" spans="1:25" ht="13.5" customHeight="1">
      <c r="A84" s="115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116"/>
    </row>
    <row r="85" spans="1:25" ht="13.5" customHeight="1">
      <c r="A85" s="115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116"/>
    </row>
    <row r="86" spans="1:25" ht="13.5" customHeight="1">
      <c r="A86" s="115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116"/>
    </row>
    <row r="87" spans="1:25" ht="13.5" customHeight="1">
      <c r="A87" s="115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116"/>
    </row>
    <row r="88" spans="1:25" ht="13.5" customHeight="1">
      <c r="A88" s="115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116"/>
    </row>
    <row r="89" spans="1:25" ht="13.5" customHeight="1">
      <c r="A89" s="115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116"/>
    </row>
    <row r="90" spans="1:25" ht="13.5" customHeight="1">
      <c r="A90" s="115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116"/>
    </row>
    <row r="91" spans="1:25" ht="13.5" customHeight="1">
      <c r="A91" s="115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116"/>
    </row>
    <row r="92" spans="1:25" ht="13.5" customHeight="1">
      <c r="A92" s="115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116"/>
    </row>
    <row r="93" spans="1:25" ht="13.5" customHeight="1">
      <c r="A93" s="115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116"/>
    </row>
    <row r="94" spans="1:25" ht="13.5" customHeight="1">
      <c r="A94" s="115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116"/>
    </row>
    <row r="95" spans="1:25" ht="13.5" customHeight="1">
      <c r="A95" s="115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116"/>
    </row>
    <row r="96" spans="1:25" ht="13.5" customHeight="1">
      <c r="A96" s="115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116"/>
    </row>
    <row r="97" spans="1:26" ht="13.5" customHeight="1">
      <c r="A97" s="115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116"/>
    </row>
    <row r="98" spans="1:26" ht="13.5" customHeight="1">
      <c r="A98" s="115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116"/>
    </row>
    <row r="99" spans="1:26" ht="13.5" customHeight="1">
      <c r="A99" s="115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116"/>
    </row>
    <row r="100" spans="1:26" ht="13.5" customHeight="1">
      <c r="A100" s="115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116"/>
    </row>
    <row r="101" spans="1:26" ht="13.5" customHeight="1">
      <c r="A101" s="115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116"/>
    </row>
    <row r="102" spans="1:26" ht="13.5" customHeight="1">
      <c r="A102" s="115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116"/>
    </row>
    <row r="103" spans="1:26" ht="13.5" customHeight="1">
      <c r="A103" s="88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90"/>
    </row>
    <row r="104" spans="1:26" ht="13.5" customHeight="1">
      <c r="A104" s="91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3"/>
    </row>
    <row r="105" spans="1:26" ht="13.5" customHeight="1">
      <c r="A105" s="42"/>
      <c r="B105" s="27" t="s">
        <v>132</v>
      </c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4"/>
    </row>
    <row r="106" spans="1:26" ht="13.5" customHeight="1">
      <c r="A106" s="42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4"/>
    </row>
    <row r="107" spans="1:26" ht="13.5" customHeight="1">
      <c r="A107" s="42"/>
      <c r="B107" s="117" t="s">
        <v>2</v>
      </c>
      <c r="C107" s="162" t="s">
        <v>12</v>
      </c>
      <c r="D107" s="163"/>
      <c r="E107" s="163"/>
      <c r="F107" s="163"/>
      <c r="G107" s="164"/>
      <c r="H107" s="118" t="s">
        <v>13</v>
      </c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 t="s">
        <v>18</v>
      </c>
      <c r="T107" s="119"/>
      <c r="U107" s="119"/>
      <c r="V107" s="119"/>
      <c r="W107" s="119"/>
      <c r="X107" s="120"/>
      <c r="Y107" s="44"/>
    </row>
    <row r="108" spans="1:26" ht="13.5" customHeight="1">
      <c r="A108" s="42"/>
      <c r="B108" s="121"/>
      <c r="C108" s="165"/>
      <c r="D108" s="166"/>
      <c r="E108" s="166"/>
      <c r="F108" s="166"/>
      <c r="G108" s="167"/>
      <c r="H108" s="118" t="s">
        <v>15</v>
      </c>
      <c r="I108" s="119"/>
      <c r="J108" s="119"/>
      <c r="K108" s="119"/>
      <c r="L108" s="119"/>
      <c r="M108" s="119"/>
      <c r="N108" s="119"/>
      <c r="O108" s="120"/>
      <c r="P108" s="122" t="s">
        <v>126</v>
      </c>
      <c r="Q108" s="122"/>
      <c r="R108" s="123"/>
      <c r="S108" s="118" t="s">
        <v>14</v>
      </c>
      <c r="T108" s="119"/>
      <c r="U108" s="119"/>
      <c r="V108" s="120"/>
      <c r="W108" s="119"/>
      <c r="X108" s="120"/>
      <c r="Y108" s="44"/>
    </row>
    <row r="109" spans="1:26" ht="13.5" customHeight="1">
      <c r="A109" s="128"/>
      <c r="B109" s="39">
        <v>1</v>
      </c>
      <c r="C109" s="154" t="s">
        <v>215</v>
      </c>
      <c r="D109" s="168"/>
      <c r="E109" s="168"/>
      <c r="F109" s="168"/>
      <c r="G109" s="169"/>
      <c r="H109" s="179" t="s">
        <v>314</v>
      </c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1"/>
      <c r="Y109" s="129"/>
      <c r="Z109" s="130"/>
    </row>
    <row r="110" spans="1:26" ht="13.5" customHeight="1">
      <c r="A110" s="128"/>
      <c r="B110" s="42"/>
      <c r="C110" s="173"/>
      <c r="D110" s="174"/>
      <c r="E110" s="174"/>
      <c r="F110" s="174"/>
      <c r="G110" s="175"/>
      <c r="H110" s="176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8"/>
      <c r="Y110" s="129"/>
      <c r="Z110" s="130"/>
    </row>
    <row r="111" spans="1:26" ht="13.5" customHeight="1">
      <c r="A111" s="128"/>
      <c r="B111" s="42"/>
      <c r="C111" s="173"/>
      <c r="D111" s="174"/>
      <c r="E111" s="174"/>
      <c r="F111" s="174"/>
      <c r="G111" s="175"/>
      <c r="H111" s="154" t="s">
        <v>222</v>
      </c>
      <c r="I111" s="155"/>
      <c r="J111" s="155"/>
      <c r="K111" s="155"/>
      <c r="L111" s="155"/>
      <c r="M111" s="155"/>
      <c r="N111" s="155"/>
      <c r="O111" s="156"/>
      <c r="P111" s="131" t="s">
        <v>216</v>
      </c>
      <c r="Q111" s="132"/>
      <c r="R111" s="133"/>
      <c r="S111" s="28" t="s">
        <v>224</v>
      </c>
      <c r="T111" s="92"/>
      <c r="U111" s="92"/>
      <c r="V111" s="92"/>
      <c r="W111" s="92"/>
      <c r="X111" s="93"/>
      <c r="Y111" s="129"/>
      <c r="Z111" s="130"/>
    </row>
    <row r="112" spans="1:26" ht="13.5" customHeight="1">
      <c r="A112" s="128"/>
      <c r="B112" s="84"/>
      <c r="C112" s="170"/>
      <c r="D112" s="171"/>
      <c r="E112" s="171"/>
      <c r="F112" s="171"/>
      <c r="G112" s="172"/>
      <c r="H112" s="157"/>
      <c r="I112" s="158"/>
      <c r="J112" s="158"/>
      <c r="K112" s="158"/>
      <c r="L112" s="158"/>
      <c r="M112" s="158"/>
      <c r="N112" s="158"/>
      <c r="O112" s="159"/>
      <c r="P112" s="134"/>
      <c r="Q112" s="135"/>
      <c r="R112" s="136"/>
      <c r="S112" s="88"/>
      <c r="T112" s="89"/>
      <c r="U112" s="89"/>
      <c r="V112" s="89"/>
      <c r="W112" s="89"/>
      <c r="X112" s="90"/>
      <c r="Y112" s="129"/>
      <c r="Z112" s="130"/>
    </row>
    <row r="113" spans="1:26" ht="13.5" customHeight="1">
      <c r="A113" s="128"/>
      <c r="B113" s="39">
        <v>2</v>
      </c>
      <c r="C113" s="154" t="s">
        <v>283</v>
      </c>
      <c r="D113" s="168"/>
      <c r="E113" s="168"/>
      <c r="F113" s="168"/>
      <c r="G113" s="169"/>
      <c r="H113" s="179" t="s">
        <v>284</v>
      </c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1"/>
      <c r="Y113" s="129"/>
      <c r="Z113" s="130"/>
    </row>
    <row r="114" spans="1:26" ht="13.5" customHeight="1">
      <c r="A114" s="128"/>
      <c r="B114" s="42"/>
      <c r="C114" s="173"/>
      <c r="D114" s="174"/>
      <c r="E114" s="174"/>
      <c r="F114" s="174"/>
      <c r="G114" s="175"/>
      <c r="H114" s="176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8"/>
      <c r="Y114" s="129"/>
      <c r="Z114" s="130"/>
    </row>
    <row r="115" spans="1:26" ht="13.5" customHeight="1">
      <c r="A115" s="128"/>
      <c r="B115" s="42"/>
      <c r="C115" s="173"/>
      <c r="D115" s="174"/>
      <c r="E115" s="174"/>
      <c r="F115" s="174"/>
      <c r="G115" s="175"/>
      <c r="H115" s="154" t="s">
        <v>222</v>
      </c>
      <c r="I115" s="155"/>
      <c r="J115" s="155"/>
      <c r="K115" s="155"/>
      <c r="L115" s="155"/>
      <c r="M115" s="155"/>
      <c r="N115" s="155"/>
      <c r="O115" s="156"/>
      <c r="P115" s="131" t="s">
        <v>285</v>
      </c>
      <c r="Q115" s="132"/>
      <c r="R115" s="133"/>
      <c r="S115" s="28" t="s">
        <v>224</v>
      </c>
      <c r="T115" s="92"/>
      <c r="U115" s="92"/>
      <c r="V115" s="92"/>
      <c r="W115" s="92"/>
      <c r="X115" s="93"/>
      <c r="Y115" s="129"/>
      <c r="Z115" s="130"/>
    </row>
    <row r="116" spans="1:26" ht="13.5" customHeight="1">
      <c r="A116" s="128"/>
      <c r="B116" s="84"/>
      <c r="C116" s="170"/>
      <c r="D116" s="171"/>
      <c r="E116" s="171"/>
      <c r="F116" s="171"/>
      <c r="G116" s="172"/>
      <c r="H116" s="157"/>
      <c r="I116" s="158"/>
      <c r="J116" s="158"/>
      <c r="K116" s="158"/>
      <c r="L116" s="158"/>
      <c r="M116" s="158"/>
      <c r="N116" s="158"/>
      <c r="O116" s="159"/>
      <c r="P116" s="134"/>
      <c r="Q116" s="135"/>
      <c r="R116" s="136"/>
      <c r="S116" s="88"/>
      <c r="T116" s="89"/>
      <c r="U116" s="89"/>
      <c r="V116" s="89"/>
      <c r="W116" s="89"/>
      <c r="X116" s="90"/>
      <c r="Y116" s="129"/>
      <c r="Z116" s="130"/>
    </row>
    <row r="117" spans="1:26" ht="13.5" customHeight="1">
      <c r="A117" s="115"/>
      <c r="B117" s="124">
        <v>3</v>
      </c>
      <c r="C117" s="154" t="s">
        <v>146</v>
      </c>
      <c r="D117" s="168"/>
      <c r="E117" s="168"/>
      <c r="F117" s="168"/>
      <c r="G117" s="169"/>
      <c r="H117" s="154" t="s">
        <v>151</v>
      </c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9"/>
      <c r="Y117" s="116"/>
    </row>
    <row r="118" spans="1:26" ht="13.5" customHeight="1">
      <c r="A118" s="115"/>
      <c r="B118" s="94"/>
      <c r="C118" s="173"/>
      <c r="D118" s="174"/>
      <c r="E118" s="174"/>
      <c r="F118" s="174"/>
      <c r="G118" s="175"/>
      <c r="H118" s="170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2"/>
      <c r="Y118" s="116"/>
    </row>
    <row r="119" spans="1:26" ht="13.5" customHeight="1">
      <c r="A119" s="115"/>
      <c r="B119" s="94"/>
      <c r="C119" s="173"/>
      <c r="D119" s="174"/>
      <c r="E119" s="174"/>
      <c r="F119" s="174"/>
      <c r="G119" s="175"/>
      <c r="H119" s="154" t="s">
        <v>222</v>
      </c>
      <c r="I119" s="155"/>
      <c r="J119" s="155"/>
      <c r="K119" s="155"/>
      <c r="L119" s="155"/>
      <c r="M119" s="155"/>
      <c r="N119" s="155"/>
      <c r="O119" s="156"/>
      <c r="P119" s="39" t="s">
        <v>220</v>
      </c>
      <c r="Q119" s="40"/>
      <c r="R119" s="41"/>
      <c r="S119" s="179" t="s">
        <v>226</v>
      </c>
      <c r="T119" s="180"/>
      <c r="U119" s="180"/>
      <c r="V119" s="180"/>
      <c r="W119" s="180"/>
      <c r="X119" s="181"/>
      <c r="Y119" s="116"/>
    </row>
    <row r="120" spans="1:26" ht="13.5" customHeight="1">
      <c r="A120" s="115"/>
      <c r="B120" s="83"/>
      <c r="C120" s="170"/>
      <c r="D120" s="171"/>
      <c r="E120" s="171"/>
      <c r="F120" s="171"/>
      <c r="G120" s="172"/>
      <c r="H120" s="157"/>
      <c r="I120" s="158"/>
      <c r="J120" s="158"/>
      <c r="K120" s="158"/>
      <c r="L120" s="158"/>
      <c r="M120" s="158"/>
      <c r="N120" s="158"/>
      <c r="O120" s="159"/>
      <c r="P120" s="84"/>
      <c r="Q120" s="86"/>
      <c r="R120" s="87"/>
      <c r="S120" s="176"/>
      <c r="T120" s="177"/>
      <c r="U120" s="177"/>
      <c r="V120" s="177"/>
      <c r="W120" s="177"/>
      <c r="X120" s="178"/>
      <c r="Y120" s="116"/>
    </row>
    <row r="121" spans="1:26" ht="13.5" customHeight="1">
      <c r="A121" s="115"/>
      <c r="B121" s="43" t="s">
        <v>227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116"/>
    </row>
    <row r="122" spans="1:26" ht="13.5" customHeight="1">
      <c r="A122" s="115"/>
      <c r="B122" s="43" t="s">
        <v>228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116"/>
    </row>
    <row r="123" spans="1:26" ht="13.5" customHeight="1">
      <c r="A123" s="42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44"/>
    </row>
    <row r="124" spans="1:26" ht="13.5" customHeight="1">
      <c r="A124" s="42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44"/>
    </row>
    <row r="125" spans="1:26" ht="13.5" customHeight="1">
      <c r="A125" s="42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44"/>
    </row>
    <row r="126" spans="1:26" ht="13.5" customHeight="1">
      <c r="A126" s="42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44"/>
    </row>
    <row r="127" spans="1:26" ht="13.5" customHeight="1">
      <c r="A127" s="42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44"/>
    </row>
    <row r="128" spans="1:26" ht="13.5" customHeight="1">
      <c r="A128" s="42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44"/>
    </row>
    <row r="129" spans="1:25" ht="13.5" customHeight="1">
      <c r="A129" s="42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44"/>
    </row>
    <row r="130" spans="1:25" ht="13.5" customHeight="1">
      <c r="A130" s="42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44"/>
    </row>
    <row r="131" spans="1:25" ht="13.5" customHeight="1">
      <c r="A131" s="42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44"/>
    </row>
    <row r="132" spans="1:25" ht="13.5" customHeight="1">
      <c r="A132" s="42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44"/>
    </row>
    <row r="133" spans="1:25" ht="13.5" customHeight="1">
      <c r="A133" s="42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44"/>
    </row>
    <row r="134" spans="1:25" ht="13.5" customHeight="1">
      <c r="A134" s="42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44"/>
    </row>
    <row r="135" spans="1:25" ht="13.5" customHeight="1">
      <c r="A135" s="42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44"/>
    </row>
    <row r="136" spans="1:25" ht="13.5" customHeight="1">
      <c r="A136" s="42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44"/>
    </row>
    <row r="137" spans="1:25" ht="13.5" customHeight="1">
      <c r="A137" s="42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44"/>
    </row>
    <row r="138" spans="1:25" ht="13.5" customHeight="1">
      <c r="A138" s="42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44"/>
    </row>
    <row r="139" spans="1:25" ht="13.5" customHeight="1">
      <c r="A139" s="42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44"/>
    </row>
    <row r="140" spans="1:25" ht="13.5" customHeight="1">
      <c r="A140" s="42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44"/>
    </row>
    <row r="141" spans="1:25" ht="13.5" customHeight="1">
      <c r="A141" s="42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44"/>
    </row>
    <row r="142" spans="1:25" ht="13.5" customHeight="1">
      <c r="A142" s="42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44"/>
    </row>
    <row r="143" spans="1:25" ht="13.5" customHeight="1">
      <c r="A143" s="42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44"/>
    </row>
    <row r="144" spans="1:25" ht="13.5" customHeight="1">
      <c r="A144" s="42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44"/>
    </row>
    <row r="145" spans="1:25" ht="13.5" customHeight="1">
      <c r="A145" s="42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44"/>
    </row>
    <row r="146" spans="1:25" ht="13.5" customHeight="1">
      <c r="A146" s="42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44"/>
    </row>
    <row r="147" spans="1:25" ht="13.5" customHeight="1">
      <c r="A147" s="42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44"/>
    </row>
    <row r="148" spans="1:25" ht="13.5" customHeight="1">
      <c r="A148" s="42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44"/>
    </row>
    <row r="149" spans="1:25" ht="13.5" customHeight="1">
      <c r="A149" s="42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44"/>
    </row>
    <row r="150" spans="1:25" ht="13.5" customHeight="1">
      <c r="A150" s="42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44"/>
    </row>
    <row r="151" spans="1:25" ht="13.5" customHeight="1">
      <c r="A151" s="42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44"/>
    </row>
    <row r="152" spans="1:25" ht="13.5" customHeight="1">
      <c r="A152" s="42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44"/>
    </row>
    <row r="153" spans="1:25" ht="13.5" customHeight="1">
      <c r="A153" s="42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44"/>
    </row>
    <row r="154" spans="1:25" ht="13.5" customHeight="1">
      <c r="A154" s="42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44"/>
    </row>
    <row r="155" spans="1:25" ht="13.5" customHeight="1">
      <c r="A155" s="84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7"/>
    </row>
  </sheetData>
  <mergeCells count="18">
    <mergeCell ref="D1:Y1"/>
    <mergeCell ref="D2:Y2"/>
    <mergeCell ref="A3:Y3"/>
    <mergeCell ref="A4:Y5"/>
    <mergeCell ref="D6:Y6"/>
    <mergeCell ref="B62:B63"/>
    <mergeCell ref="H119:O120"/>
    <mergeCell ref="S119:X120"/>
    <mergeCell ref="B10:B11"/>
    <mergeCell ref="C107:G108"/>
    <mergeCell ref="C117:G120"/>
    <mergeCell ref="H117:X118"/>
    <mergeCell ref="C109:G112"/>
    <mergeCell ref="H109:X110"/>
    <mergeCell ref="H111:O112"/>
    <mergeCell ref="C113:G116"/>
    <mergeCell ref="H113:X114"/>
    <mergeCell ref="H115:O116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&amp;C3.1.10-&amp;P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5"/>
  <sheetViews>
    <sheetView view="pageBreakPreview" zoomScaleNormal="100" zoomScaleSheetLayoutView="100" workbookViewId="0">
      <pane ySplit="6" topLeftCell="A7" activePane="bottomLeft" state="frozen"/>
      <selection activeCell="AE163" sqref="AE163"/>
      <selection pane="bottomLeft" activeCell="S87" sqref="S87"/>
    </sheetView>
  </sheetViews>
  <sheetFormatPr defaultColWidth="3.6640625" defaultRowHeight="13.5" customHeight="1"/>
  <cols>
    <col min="1" max="16384" width="3.6640625" style="12"/>
  </cols>
  <sheetData>
    <row r="1" spans="1:25" ht="13.5" customHeight="1">
      <c r="A1" s="25" t="s">
        <v>7</v>
      </c>
      <c r="B1" s="26"/>
      <c r="C1" s="26"/>
      <c r="D1" s="142" t="str">
        <f>目次!D1</f>
        <v>備蓄品管理システム</v>
      </c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 t="s">
        <v>233</v>
      </c>
      <c r="U1" s="143"/>
      <c r="V1" s="143" t="s">
        <v>234</v>
      </c>
      <c r="W1" s="143"/>
      <c r="X1" s="143"/>
      <c r="Y1" s="144"/>
    </row>
    <row r="2" spans="1:25" ht="13.5" customHeight="1">
      <c r="A2" s="25" t="str">
        <f>目次!A2</f>
        <v>章番号</v>
      </c>
      <c r="B2" s="26"/>
      <c r="C2" s="26"/>
      <c r="D2" s="142" t="str">
        <f>目次!D2</f>
        <v>第３章　機能設計</v>
      </c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 t="s">
        <v>5</v>
      </c>
      <c r="U2" s="143"/>
      <c r="V2" s="143">
        <v>42398</v>
      </c>
      <c r="W2" s="143"/>
      <c r="X2" s="143"/>
      <c r="Y2" s="144"/>
    </row>
    <row r="3" spans="1:25" ht="13.5" customHeight="1">
      <c r="A3" s="145" t="str">
        <f>目次!A3</f>
        <v>機能名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 t="s">
        <v>4</v>
      </c>
      <c r="U3" s="146"/>
      <c r="V3" s="146" t="s">
        <v>8</v>
      </c>
      <c r="W3" s="146"/>
      <c r="X3" s="146"/>
      <c r="Y3" s="147"/>
    </row>
    <row r="4" spans="1:25" ht="13.5" customHeight="1">
      <c r="A4" s="148" t="str">
        <f>目次!A4</f>
        <v>３．１．１０　災害一覧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 t="s">
        <v>16</v>
      </c>
      <c r="U4" s="149"/>
      <c r="V4" s="149" t="s">
        <v>235</v>
      </c>
      <c r="W4" s="149"/>
      <c r="X4" s="149"/>
      <c r="Y4" s="150"/>
    </row>
    <row r="5" spans="1:25" ht="13.5" customHeight="1">
      <c r="A5" s="151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 t="s">
        <v>6</v>
      </c>
      <c r="U5" s="152"/>
      <c r="V5" s="152"/>
      <c r="W5" s="152"/>
      <c r="X5" s="152"/>
      <c r="Y5" s="153"/>
    </row>
    <row r="6" spans="1:25" ht="13.5" customHeight="1">
      <c r="A6" s="25" t="s">
        <v>9</v>
      </c>
      <c r="B6" s="26"/>
      <c r="C6" s="26"/>
      <c r="D6" s="182" t="str">
        <f>目次!D14</f>
        <v>３．１．１０．４　災害修正</v>
      </c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 t="s">
        <v>236</v>
      </c>
      <c r="P6" s="183"/>
      <c r="Q6" s="183"/>
      <c r="R6" s="183"/>
      <c r="S6" s="183"/>
      <c r="T6" s="183"/>
      <c r="U6" s="183"/>
      <c r="V6" s="183"/>
      <c r="W6" s="183"/>
      <c r="X6" s="183"/>
      <c r="Y6" s="184"/>
    </row>
    <row r="7" spans="1:25" ht="13.5" customHeight="1">
      <c r="A7" s="39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1"/>
    </row>
    <row r="8" spans="1:25" ht="13.5" customHeight="1">
      <c r="A8" s="42"/>
      <c r="B8" s="27" t="s">
        <v>149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4"/>
    </row>
    <row r="9" spans="1:25" ht="13.5" customHeight="1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4"/>
    </row>
    <row r="10" spans="1:25" ht="13.5" customHeight="1">
      <c r="A10" s="42"/>
      <c r="B10" s="160" t="s">
        <v>2</v>
      </c>
      <c r="C10" s="45" t="s">
        <v>10</v>
      </c>
      <c r="D10" s="46"/>
      <c r="E10" s="46"/>
      <c r="F10" s="46"/>
      <c r="G10" s="46"/>
      <c r="H10" s="47"/>
      <c r="I10" s="45" t="s">
        <v>3</v>
      </c>
      <c r="J10" s="46"/>
      <c r="K10" s="46"/>
      <c r="L10" s="46"/>
      <c r="M10" s="47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9"/>
      <c r="Y10" s="44"/>
    </row>
    <row r="11" spans="1:25" ht="13.5" customHeight="1">
      <c r="A11" s="42"/>
      <c r="B11" s="161"/>
      <c r="C11" s="45" t="s">
        <v>11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7"/>
      <c r="Y11" s="44"/>
    </row>
    <row r="12" spans="1:25" ht="13.5" customHeight="1">
      <c r="A12" s="42"/>
      <c r="B12" s="39">
        <v>1</v>
      </c>
      <c r="C12" s="50" t="s">
        <v>157</v>
      </c>
      <c r="D12" s="51"/>
      <c r="E12" s="51"/>
      <c r="F12" s="50"/>
      <c r="G12" s="51"/>
      <c r="H12" s="52"/>
      <c r="I12" s="50" t="s">
        <v>158</v>
      </c>
      <c r="J12" s="51"/>
      <c r="K12" s="51"/>
      <c r="L12" s="51"/>
      <c r="M12" s="52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4"/>
      <c r="Y12" s="44"/>
    </row>
    <row r="13" spans="1:25" ht="13.5" customHeight="1">
      <c r="A13" s="42"/>
      <c r="B13" s="42"/>
      <c r="C13" s="39" t="s">
        <v>159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1"/>
      <c r="Y13" s="44"/>
    </row>
    <row r="14" spans="1:25" ht="13.5" customHeight="1">
      <c r="A14" s="42"/>
      <c r="B14" s="42"/>
      <c r="C14" s="42"/>
      <c r="D14" s="55" t="s">
        <v>160</v>
      </c>
      <c r="E14" s="43" t="s">
        <v>48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4"/>
      <c r="Y14" s="44"/>
    </row>
    <row r="15" spans="1:25" ht="13.5" customHeight="1">
      <c r="A15" s="42"/>
      <c r="B15" s="42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8"/>
      <c r="Y15" s="44"/>
    </row>
    <row r="16" spans="1:25" ht="13.5" customHeight="1">
      <c r="A16" s="42"/>
      <c r="B16" s="42"/>
      <c r="C16" s="59" t="s">
        <v>42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1"/>
      <c r="Y16" s="44"/>
    </row>
    <row r="17" spans="1:25" ht="13.5" customHeight="1">
      <c r="A17" s="42"/>
      <c r="B17" s="42"/>
      <c r="C17" s="42"/>
      <c r="D17" s="55" t="s">
        <v>193</v>
      </c>
      <c r="E17" s="43" t="s">
        <v>189</v>
      </c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62"/>
      <c r="W17" s="43"/>
      <c r="X17" s="44"/>
      <c r="Y17" s="44"/>
    </row>
    <row r="18" spans="1:25" ht="13.5" customHeight="1">
      <c r="A18" s="42"/>
      <c r="B18" s="42"/>
      <c r="C18" s="42"/>
      <c r="D18" s="55" t="s">
        <v>194</v>
      </c>
      <c r="E18" s="43" t="s">
        <v>223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62"/>
      <c r="W18" s="43"/>
      <c r="X18" s="44"/>
      <c r="Y18" s="44"/>
    </row>
    <row r="19" spans="1:25" ht="13.5" customHeight="1">
      <c r="A19" s="42"/>
      <c r="B19" s="42"/>
      <c r="C19" s="42"/>
      <c r="D19" s="55" t="s">
        <v>295</v>
      </c>
      <c r="E19" s="43" t="s">
        <v>290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62"/>
      <c r="W19" s="43"/>
      <c r="X19" s="44"/>
      <c r="Y19" s="44"/>
    </row>
    <row r="20" spans="1:25" ht="13.5" customHeight="1">
      <c r="A20" s="42"/>
      <c r="B20" s="42"/>
      <c r="C20" s="42"/>
      <c r="D20" s="55"/>
      <c r="E20" s="43"/>
      <c r="F20" s="43" t="s">
        <v>304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62"/>
      <c r="W20" s="43"/>
      <c r="X20" s="44"/>
      <c r="Y20" s="44"/>
    </row>
    <row r="21" spans="1:25" ht="13.5" customHeight="1">
      <c r="A21" s="42"/>
      <c r="B21" s="42"/>
      <c r="C21" s="42"/>
      <c r="D21" s="55"/>
      <c r="E21" s="43"/>
      <c r="F21" s="43" t="s">
        <v>305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62"/>
      <c r="W21" s="43"/>
      <c r="X21" s="44"/>
      <c r="Y21" s="44"/>
    </row>
    <row r="22" spans="1:25" ht="13.5" customHeight="1">
      <c r="A22" s="42"/>
      <c r="B22" s="42"/>
      <c r="C22" s="42"/>
      <c r="D22" s="55" t="s">
        <v>291</v>
      </c>
      <c r="E22" s="43" t="s">
        <v>134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62"/>
      <c r="W22" s="43"/>
      <c r="X22" s="44"/>
      <c r="Y22" s="44"/>
    </row>
    <row r="23" spans="1:25" ht="13.5" customHeight="1">
      <c r="A23" s="42"/>
      <c r="B23" s="42"/>
      <c r="C23" s="42"/>
      <c r="D23" s="55" t="s">
        <v>292</v>
      </c>
      <c r="E23" s="43" t="s">
        <v>315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4"/>
      <c r="Y23" s="44"/>
    </row>
    <row r="24" spans="1:25" ht="13.5" customHeight="1">
      <c r="A24" s="42"/>
      <c r="B24" s="42"/>
      <c r="C24" s="42"/>
      <c r="D24" s="55" t="s">
        <v>293</v>
      </c>
      <c r="E24" s="43" t="s">
        <v>316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62"/>
      <c r="W24" s="43"/>
      <c r="X24" s="44"/>
      <c r="Y24" s="44"/>
    </row>
    <row r="25" spans="1:25" ht="13.5" customHeight="1">
      <c r="A25" s="42"/>
      <c r="B25" s="42"/>
      <c r="C25" s="56"/>
      <c r="D25" s="70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70"/>
      <c r="V25" s="57"/>
      <c r="W25" s="57"/>
      <c r="X25" s="58"/>
      <c r="Y25" s="44"/>
    </row>
    <row r="26" spans="1:25" ht="13.5" customHeight="1">
      <c r="A26" s="42"/>
      <c r="B26" s="39">
        <v>2</v>
      </c>
      <c r="C26" s="50" t="s">
        <v>166</v>
      </c>
      <c r="D26" s="51"/>
      <c r="E26" s="51"/>
      <c r="F26" s="50"/>
      <c r="G26" s="51"/>
      <c r="H26" s="52"/>
      <c r="I26" s="50" t="s">
        <v>19</v>
      </c>
      <c r="J26" s="51"/>
      <c r="K26" s="51"/>
      <c r="L26" s="51"/>
      <c r="M26" s="52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4"/>
      <c r="Y26" s="44"/>
    </row>
    <row r="27" spans="1:25" ht="13.5" customHeight="1">
      <c r="A27" s="42"/>
      <c r="B27" s="42"/>
      <c r="C27" s="39" t="s">
        <v>261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1"/>
      <c r="Y27" s="44"/>
    </row>
    <row r="28" spans="1:25" ht="13.5" customHeight="1">
      <c r="A28" s="42"/>
      <c r="B28" s="42"/>
      <c r="C28" s="42"/>
      <c r="D28" s="55" t="s">
        <v>262</v>
      </c>
      <c r="E28" s="43" t="s">
        <v>167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4"/>
      <c r="Y28" s="44"/>
    </row>
    <row r="29" spans="1:25" ht="13.5" customHeight="1">
      <c r="A29" s="42"/>
      <c r="B29" s="42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8"/>
      <c r="Y29" s="44"/>
    </row>
    <row r="30" spans="1:25" ht="13.5" customHeight="1">
      <c r="A30" s="42"/>
      <c r="B30" s="42"/>
      <c r="C30" s="42" t="s">
        <v>263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62"/>
      <c r="V30" s="43"/>
      <c r="W30" s="43"/>
      <c r="X30" s="44"/>
      <c r="Y30" s="44"/>
    </row>
    <row r="31" spans="1:25" ht="13.5" customHeight="1">
      <c r="A31" s="42"/>
      <c r="B31" s="42"/>
      <c r="C31" s="42"/>
      <c r="D31" s="55" t="s">
        <v>264</v>
      </c>
      <c r="E31" s="43" t="s">
        <v>210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62"/>
      <c r="V31" s="43"/>
      <c r="W31" s="43"/>
      <c r="X31" s="44"/>
      <c r="Y31" s="44"/>
    </row>
    <row r="32" spans="1:25" ht="13.5" customHeight="1">
      <c r="A32" s="42"/>
      <c r="B32" s="94"/>
      <c r="C32" s="42"/>
      <c r="D32" s="55"/>
      <c r="E32" s="43" t="s">
        <v>182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4"/>
      <c r="Y32" s="44"/>
    </row>
    <row r="33" spans="1:25" ht="13.5" customHeight="1">
      <c r="A33" s="42"/>
      <c r="B33" s="94"/>
      <c r="C33" s="42"/>
      <c r="D33" s="55"/>
      <c r="E33" s="43"/>
      <c r="F33" s="43" t="s">
        <v>265</v>
      </c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4"/>
      <c r="Y33" s="44"/>
    </row>
    <row r="34" spans="1:25" ht="13.5" customHeight="1">
      <c r="A34" s="42"/>
      <c r="B34" s="94"/>
      <c r="C34" s="42"/>
      <c r="D34" s="55"/>
      <c r="E34" s="43"/>
      <c r="F34" s="43" t="s">
        <v>179</v>
      </c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4"/>
      <c r="Y34" s="44"/>
    </row>
    <row r="35" spans="1:25" ht="13.5" customHeight="1">
      <c r="A35" s="42"/>
      <c r="B35" s="94"/>
      <c r="C35" s="42"/>
      <c r="D35" s="55" t="s">
        <v>266</v>
      </c>
      <c r="E35" s="43" t="s">
        <v>168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4"/>
      <c r="Y35" s="44"/>
    </row>
    <row r="36" spans="1:25" ht="13.5" customHeight="1">
      <c r="A36" s="42"/>
      <c r="B36" s="42"/>
      <c r="C36" s="42"/>
      <c r="D36" s="55" t="s">
        <v>267</v>
      </c>
      <c r="E36" s="43" t="s">
        <v>223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62"/>
      <c r="W36" s="43"/>
      <c r="X36" s="44"/>
      <c r="Y36" s="44"/>
    </row>
    <row r="37" spans="1:25" ht="13.5" customHeight="1">
      <c r="A37" s="42"/>
      <c r="B37" s="84"/>
      <c r="C37" s="84"/>
      <c r="D37" s="85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7"/>
      <c r="Y37" s="44"/>
    </row>
    <row r="38" spans="1:25" ht="13.5" customHeight="1">
      <c r="A38" s="42"/>
      <c r="B38" s="124">
        <v>3</v>
      </c>
      <c r="C38" s="50" t="s">
        <v>162</v>
      </c>
      <c r="D38" s="51"/>
      <c r="E38" s="51"/>
      <c r="F38" s="51"/>
      <c r="G38" s="51"/>
      <c r="H38" s="52"/>
      <c r="I38" s="50" t="s">
        <v>19</v>
      </c>
      <c r="J38" s="51"/>
      <c r="K38" s="51"/>
      <c r="L38" s="51"/>
      <c r="M38" s="52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44"/>
    </row>
    <row r="39" spans="1:25" ht="13.5" customHeight="1">
      <c r="A39" s="42"/>
      <c r="B39" s="94"/>
      <c r="C39" s="39" t="s">
        <v>268</v>
      </c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1"/>
      <c r="Y39" s="44"/>
    </row>
    <row r="40" spans="1:25" ht="13.5" customHeight="1">
      <c r="A40" s="42"/>
      <c r="B40" s="94"/>
      <c r="C40" s="42"/>
      <c r="D40" s="55" t="s">
        <v>269</v>
      </c>
      <c r="E40" s="43" t="s">
        <v>163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4"/>
      <c r="Y40" s="44"/>
    </row>
    <row r="41" spans="1:25" ht="13.5" customHeight="1">
      <c r="A41" s="42"/>
      <c r="B41" s="94"/>
      <c r="C41" s="56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8"/>
      <c r="Y41" s="44"/>
    </row>
    <row r="42" spans="1:25" ht="13.5" customHeight="1">
      <c r="A42" s="42"/>
      <c r="B42" s="94"/>
      <c r="C42" s="59" t="s">
        <v>286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1"/>
      <c r="Y42" s="44"/>
    </row>
    <row r="43" spans="1:25" ht="13.5" customHeight="1">
      <c r="A43" s="42"/>
      <c r="B43" s="94"/>
      <c r="C43" s="42"/>
      <c r="D43" s="55" t="s">
        <v>271</v>
      </c>
      <c r="E43" s="43" t="s">
        <v>221</v>
      </c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62"/>
      <c r="W43" s="43"/>
      <c r="X43" s="44"/>
      <c r="Y43" s="44"/>
    </row>
    <row r="44" spans="1:25" ht="13.5" customHeight="1">
      <c r="A44" s="42"/>
      <c r="B44" s="94"/>
      <c r="C44" s="42"/>
      <c r="D44" s="55"/>
      <c r="E44" s="43"/>
      <c r="F44" s="43" t="s">
        <v>180</v>
      </c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4"/>
      <c r="Y44" s="44"/>
    </row>
    <row r="45" spans="1:25" ht="13.5" customHeight="1">
      <c r="A45" s="42"/>
      <c r="B45" s="94"/>
      <c r="C45" s="42"/>
      <c r="D45" s="55"/>
      <c r="E45" s="43"/>
      <c r="F45" s="43"/>
      <c r="G45" s="43" t="s">
        <v>143</v>
      </c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4"/>
      <c r="Y45" s="44"/>
    </row>
    <row r="46" spans="1:25" ht="13.5" customHeight="1">
      <c r="A46" s="42"/>
      <c r="B46" s="94"/>
      <c r="C46" s="42"/>
      <c r="D46" s="55"/>
      <c r="E46" s="43"/>
      <c r="F46" s="43"/>
      <c r="G46" s="43" t="s">
        <v>144</v>
      </c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4"/>
      <c r="Y46" s="44"/>
    </row>
    <row r="47" spans="1:25" ht="13.5" customHeight="1">
      <c r="A47" s="42"/>
      <c r="B47" s="94"/>
      <c r="C47" s="42"/>
      <c r="D47" s="55" t="s">
        <v>272</v>
      </c>
      <c r="E47" s="43" t="s">
        <v>164</v>
      </c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4"/>
      <c r="Y47" s="44"/>
    </row>
    <row r="48" spans="1:25" ht="13.5" customHeight="1">
      <c r="A48" s="42"/>
      <c r="B48" s="94"/>
      <c r="C48" s="42"/>
      <c r="D48" s="55"/>
      <c r="E48" s="43"/>
      <c r="F48" s="43" t="s">
        <v>175</v>
      </c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4"/>
      <c r="Y48" s="44"/>
    </row>
    <row r="49" spans="1:25" ht="13.5" customHeight="1">
      <c r="A49" s="42"/>
      <c r="B49" s="94"/>
      <c r="C49" s="42"/>
      <c r="D49" s="55" t="s">
        <v>273</v>
      </c>
      <c r="E49" s="43" t="s">
        <v>55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4"/>
      <c r="Y49" s="44"/>
    </row>
    <row r="50" spans="1:25" ht="13.5" customHeight="1">
      <c r="A50" s="42"/>
      <c r="B50" s="94"/>
      <c r="C50" s="42"/>
      <c r="D50" s="55"/>
      <c r="E50" s="43"/>
      <c r="F50" s="43" t="s">
        <v>153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4"/>
      <c r="Y50" s="44"/>
    </row>
    <row r="51" spans="1:25" ht="13.5" customHeight="1">
      <c r="A51" s="42"/>
      <c r="B51" s="42"/>
      <c r="C51" s="42"/>
      <c r="D51" s="55" t="s">
        <v>274</v>
      </c>
      <c r="E51" s="43" t="s">
        <v>201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4"/>
      <c r="Y51" s="44"/>
    </row>
    <row r="52" spans="1:25" ht="13.5" customHeight="1">
      <c r="A52" s="42"/>
      <c r="B52" s="42"/>
      <c r="C52" s="42"/>
      <c r="D52" s="55"/>
      <c r="E52" s="43"/>
      <c r="F52" s="43" t="s">
        <v>206</v>
      </c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4"/>
      <c r="Y52" s="44"/>
    </row>
    <row r="53" spans="1:25" ht="13.5" customHeight="1">
      <c r="A53" s="42"/>
      <c r="B53" s="42"/>
      <c r="C53" s="42"/>
      <c r="D53" s="55"/>
      <c r="E53" s="43"/>
      <c r="F53" s="43" t="s">
        <v>57</v>
      </c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4"/>
      <c r="Y53" s="44"/>
    </row>
    <row r="54" spans="1:25" ht="13.5" customHeight="1">
      <c r="A54" s="42"/>
      <c r="B54" s="42"/>
      <c r="C54" s="42"/>
      <c r="D54" s="55" t="s">
        <v>275</v>
      </c>
      <c r="E54" s="43" t="s">
        <v>213</v>
      </c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4"/>
      <c r="Y54" s="44"/>
    </row>
    <row r="55" spans="1:25" ht="13.5" customHeight="1">
      <c r="A55" s="42"/>
      <c r="B55" s="42"/>
      <c r="C55" s="42"/>
      <c r="D55" s="55"/>
      <c r="E55" s="43"/>
      <c r="F55" s="43" t="s">
        <v>207</v>
      </c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4"/>
      <c r="Y55" s="44"/>
    </row>
    <row r="56" spans="1:25" ht="13.5" customHeight="1">
      <c r="A56" s="42"/>
      <c r="B56" s="42"/>
      <c r="C56" s="42"/>
      <c r="D56" s="55"/>
      <c r="E56" s="43"/>
      <c r="F56" s="43" t="s">
        <v>57</v>
      </c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4"/>
      <c r="Y56" s="44"/>
    </row>
    <row r="57" spans="1:25" ht="13.5" customHeight="1">
      <c r="A57" s="42"/>
      <c r="B57" s="83"/>
      <c r="C57" s="84"/>
      <c r="D57" s="85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5"/>
      <c r="V57" s="86"/>
      <c r="W57" s="86"/>
      <c r="X57" s="87"/>
      <c r="Y57" s="44"/>
    </row>
    <row r="58" spans="1:25" ht="13.5" customHeight="1">
      <c r="A58" s="88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90"/>
    </row>
    <row r="59" spans="1:25" ht="13.5" customHeight="1">
      <c r="A59" s="9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3"/>
    </row>
    <row r="60" spans="1:25" ht="13.5" customHeight="1">
      <c r="A60" s="42"/>
      <c r="B60" s="27" t="s">
        <v>150</v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4"/>
    </row>
    <row r="61" spans="1:25" ht="13.5" customHeight="1">
      <c r="A61" s="42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4"/>
    </row>
    <row r="62" spans="1:25" ht="13.5" customHeight="1">
      <c r="A62" s="42"/>
      <c r="B62" s="160" t="s">
        <v>2</v>
      </c>
      <c r="C62" s="45" t="s">
        <v>10</v>
      </c>
      <c r="D62" s="46"/>
      <c r="E62" s="46"/>
      <c r="F62" s="46"/>
      <c r="G62" s="46"/>
      <c r="H62" s="47"/>
      <c r="I62" s="45" t="s">
        <v>3</v>
      </c>
      <c r="J62" s="46"/>
      <c r="K62" s="46"/>
      <c r="L62" s="46"/>
      <c r="M62" s="47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9"/>
      <c r="Y62" s="44"/>
    </row>
    <row r="63" spans="1:25" ht="13.5" customHeight="1">
      <c r="A63" s="42"/>
      <c r="B63" s="161"/>
      <c r="C63" s="45" t="s">
        <v>11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7"/>
      <c r="Y63" s="44"/>
    </row>
    <row r="64" spans="1:25" ht="13.5" customHeight="1">
      <c r="A64" s="42"/>
      <c r="B64" s="94">
        <v>3</v>
      </c>
      <c r="C64" s="42"/>
      <c r="D64" s="55" t="s">
        <v>276</v>
      </c>
      <c r="E64" s="43" t="s">
        <v>196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4"/>
      <c r="Y64" s="44"/>
    </row>
    <row r="65" spans="1:25" ht="13.5" customHeight="1">
      <c r="A65" s="42"/>
      <c r="B65" s="94"/>
      <c r="C65" s="42"/>
      <c r="D65" s="55"/>
      <c r="E65" s="43"/>
      <c r="F65" s="43" t="s">
        <v>197</v>
      </c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4"/>
      <c r="Y65" s="44"/>
    </row>
    <row r="66" spans="1:25" ht="13.5" customHeight="1">
      <c r="A66" s="42"/>
      <c r="B66" s="94"/>
      <c r="C66" s="42"/>
      <c r="D66" s="55" t="s">
        <v>277</v>
      </c>
      <c r="E66" s="43" t="s">
        <v>146</v>
      </c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4"/>
      <c r="Y66" s="44"/>
    </row>
    <row r="67" spans="1:25" ht="13.5" customHeight="1">
      <c r="A67" s="42"/>
      <c r="B67" s="94"/>
      <c r="C67" s="42"/>
      <c r="D67" s="55"/>
      <c r="E67" s="43"/>
      <c r="F67" s="43" t="s">
        <v>148</v>
      </c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4"/>
      <c r="Y67" s="44"/>
    </row>
    <row r="68" spans="1:25" ht="13.5" customHeight="1">
      <c r="A68" s="42"/>
      <c r="B68" s="94"/>
      <c r="C68" s="42"/>
      <c r="D68" s="55" t="s">
        <v>278</v>
      </c>
      <c r="E68" s="43" t="s">
        <v>181</v>
      </c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4"/>
      <c r="Y68" s="44"/>
    </row>
    <row r="69" spans="1:25" ht="13.5" customHeight="1">
      <c r="A69" s="42"/>
      <c r="B69" s="94"/>
      <c r="C69" s="42"/>
      <c r="D69" s="55" t="s">
        <v>279</v>
      </c>
      <c r="E69" s="43" t="s">
        <v>209</v>
      </c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4"/>
      <c r="Y69" s="44"/>
    </row>
    <row r="70" spans="1:25" ht="13.5" customHeight="1">
      <c r="A70" s="42"/>
      <c r="B70" s="94"/>
      <c r="C70" s="42"/>
      <c r="D70" s="55"/>
      <c r="E70" s="43"/>
      <c r="F70" s="43" t="s">
        <v>177</v>
      </c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4"/>
      <c r="Y70" s="44"/>
    </row>
    <row r="71" spans="1:25" ht="13.5" customHeight="1">
      <c r="A71" s="42"/>
      <c r="B71" s="94"/>
      <c r="C71" s="42"/>
      <c r="D71" s="55" t="s">
        <v>287</v>
      </c>
      <c r="E71" s="43" t="s">
        <v>176</v>
      </c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4"/>
      <c r="Y71" s="44"/>
    </row>
    <row r="72" spans="1:25" ht="13.5" customHeight="1">
      <c r="A72" s="42"/>
      <c r="B72" s="83"/>
      <c r="C72" s="84"/>
      <c r="D72" s="85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5"/>
      <c r="V72" s="86"/>
      <c r="W72" s="86"/>
      <c r="X72" s="87"/>
      <c r="Y72" s="44"/>
    </row>
    <row r="73" spans="1:25" ht="13.5" customHeight="1">
      <c r="A73" s="115"/>
      <c r="B73" s="39">
        <v>4</v>
      </c>
      <c r="C73" s="50" t="s">
        <v>114</v>
      </c>
      <c r="D73" s="51"/>
      <c r="E73" s="51"/>
      <c r="F73" s="50"/>
      <c r="G73" s="51"/>
      <c r="H73" s="52"/>
      <c r="I73" s="50" t="s">
        <v>87</v>
      </c>
      <c r="J73" s="51"/>
      <c r="K73" s="51"/>
      <c r="L73" s="51"/>
      <c r="M73" s="52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4"/>
      <c r="Y73" s="116"/>
    </row>
    <row r="74" spans="1:25" ht="13.5" customHeight="1">
      <c r="A74" s="115"/>
      <c r="B74" s="42"/>
      <c r="C74" s="39" t="s">
        <v>318</v>
      </c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1"/>
      <c r="Y74" s="116"/>
    </row>
    <row r="75" spans="1:25" ht="13.5" customHeight="1">
      <c r="A75" s="115"/>
      <c r="B75" s="42"/>
      <c r="C75" s="42"/>
      <c r="D75" s="55" t="s">
        <v>319</v>
      </c>
      <c r="E75" s="43" t="s">
        <v>117</v>
      </c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4"/>
      <c r="Y75" s="116"/>
    </row>
    <row r="76" spans="1:25" ht="13.5" customHeight="1">
      <c r="A76" s="115"/>
      <c r="B76" s="42"/>
      <c r="C76" s="56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8"/>
      <c r="Y76" s="116"/>
    </row>
    <row r="77" spans="1:25" ht="13.5" customHeight="1">
      <c r="A77" s="115"/>
      <c r="B77" s="42"/>
      <c r="C77" s="59" t="s">
        <v>178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1"/>
      <c r="Y77" s="116"/>
    </row>
    <row r="78" spans="1:25" ht="13.5" customHeight="1">
      <c r="A78" s="115"/>
      <c r="B78" s="42"/>
      <c r="C78" s="42"/>
      <c r="D78" s="55" t="s">
        <v>320</v>
      </c>
      <c r="E78" s="43" t="s">
        <v>120</v>
      </c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4"/>
      <c r="Y78" s="116"/>
    </row>
    <row r="79" spans="1:25" ht="13.5" customHeight="1">
      <c r="A79" s="115"/>
      <c r="B79" s="83"/>
      <c r="C79" s="84"/>
      <c r="D79" s="85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5"/>
      <c r="V79" s="86"/>
      <c r="W79" s="86"/>
      <c r="X79" s="87"/>
      <c r="Y79" s="116"/>
    </row>
    <row r="80" spans="1:25" ht="13.5" customHeight="1">
      <c r="A80" s="115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116"/>
    </row>
    <row r="81" spans="1:25" ht="13.5" customHeight="1">
      <c r="A81" s="115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116"/>
    </row>
    <row r="82" spans="1:25" ht="13.5" customHeight="1">
      <c r="A82" s="115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116"/>
    </row>
    <row r="83" spans="1:25" ht="13.5" customHeight="1">
      <c r="A83" s="115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116"/>
    </row>
    <row r="84" spans="1:25" ht="13.5" customHeight="1">
      <c r="A84" s="115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116"/>
    </row>
    <row r="85" spans="1:25" ht="13.5" customHeight="1">
      <c r="A85" s="115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116"/>
    </row>
    <row r="86" spans="1:25" ht="13.5" customHeight="1">
      <c r="A86" s="115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116"/>
    </row>
    <row r="87" spans="1:25" ht="13.5" customHeight="1">
      <c r="A87" s="115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116"/>
    </row>
    <row r="88" spans="1:25" ht="13.5" customHeight="1">
      <c r="A88" s="115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116"/>
    </row>
    <row r="89" spans="1:25" ht="13.5" customHeight="1">
      <c r="A89" s="115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116"/>
    </row>
    <row r="90" spans="1:25" ht="13.5" customHeight="1">
      <c r="A90" s="115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116"/>
    </row>
    <row r="91" spans="1:25" ht="13.5" customHeight="1">
      <c r="A91" s="115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116"/>
    </row>
    <row r="92" spans="1:25" ht="13.5" customHeight="1">
      <c r="A92" s="115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116"/>
    </row>
    <row r="93" spans="1:25" ht="13.5" customHeight="1">
      <c r="A93" s="115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116"/>
    </row>
    <row r="94" spans="1:25" ht="13.5" customHeight="1">
      <c r="A94" s="115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116"/>
    </row>
    <row r="95" spans="1:25" ht="13.5" customHeight="1">
      <c r="A95" s="115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116"/>
    </row>
    <row r="96" spans="1:25" ht="13.5" customHeight="1">
      <c r="A96" s="115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116"/>
    </row>
    <row r="97" spans="1:25" ht="13.5" customHeight="1">
      <c r="A97" s="115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116"/>
    </row>
    <row r="98" spans="1:25" ht="13.5" customHeight="1">
      <c r="A98" s="115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116"/>
    </row>
    <row r="99" spans="1:25" ht="13.5" customHeight="1">
      <c r="A99" s="115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116"/>
    </row>
    <row r="100" spans="1:25" ht="13.5" customHeight="1">
      <c r="A100" s="115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116"/>
    </row>
    <row r="101" spans="1:25" ht="13.5" customHeight="1">
      <c r="A101" s="115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116"/>
    </row>
    <row r="102" spans="1:25" ht="13.5" customHeight="1">
      <c r="A102" s="115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116"/>
    </row>
    <row r="103" spans="1:25" ht="13.5" customHeight="1">
      <c r="A103" s="88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90"/>
    </row>
    <row r="104" spans="1:25" ht="13.5" customHeight="1">
      <c r="A104" s="91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3"/>
    </row>
    <row r="105" spans="1:25" ht="13.5" customHeight="1">
      <c r="A105" s="42"/>
      <c r="B105" s="27" t="s">
        <v>288</v>
      </c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4"/>
    </row>
    <row r="106" spans="1:25" ht="13.5" customHeight="1">
      <c r="A106" s="42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4"/>
    </row>
    <row r="107" spans="1:25" ht="13.5" customHeight="1">
      <c r="A107" s="42"/>
      <c r="B107" s="117" t="s">
        <v>2</v>
      </c>
      <c r="C107" s="162" t="s">
        <v>12</v>
      </c>
      <c r="D107" s="163"/>
      <c r="E107" s="163"/>
      <c r="F107" s="163"/>
      <c r="G107" s="164"/>
      <c r="H107" s="118" t="s">
        <v>13</v>
      </c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 t="s">
        <v>18</v>
      </c>
      <c r="T107" s="119"/>
      <c r="U107" s="119"/>
      <c r="V107" s="119"/>
      <c r="W107" s="119"/>
      <c r="X107" s="120"/>
      <c r="Y107" s="44"/>
    </row>
    <row r="108" spans="1:25" ht="13.5" customHeight="1">
      <c r="A108" s="42"/>
      <c r="B108" s="121"/>
      <c r="C108" s="165"/>
      <c r="D108" s="166"/>
      <c r="E108" s="166"/>
      <c r="F108" s="166"/>
      <c r="G108" s="167"/>
      <c r="H108" s="118" t="s">
        <v>15</v>
      </c>
      <c r="I108" s="119"/>
      <c r="J108" s="119"/>
      <c r="K108" s="119"/>
      <c r="L108" s="119"/>
      <c r="M108" s="119"/>
      <c r="N108" s="119"/>
      <c r="O108" s="120"/>
      <c r="P108" s="122" t="s">
        <v>126</v>
      </c>
      <c r="Q108" s="122"/>
      <c r="R108" s="123"/>
      <c r="S108" s="118" t="s">
        <v>14</v>
      </c>
      <c r="T108" s="119"/>
      <c r="U108" s="119"/>
      <c r="V108" s="120"/>
      <c r="W108" s="119"/>
      <c r="X108" s="120"/>
      <c r="Y108" s="44"/>
    </row>
    <row r="109" spans="1:25" ht="13.5" customHeight="1">
      <c r="A109" s="42"/>
      <c r="B109" s="39">
        <v>1</v>
      </c>
      <c r="C109" s="154" t="s">
        <v>164</v>
      </c>
      <c r="D109" s="168"/>
      <c r="E109" s="168"/>
      <c r="F109" s="168"/>
      <c r="G109" s="169"/>
      <c r="H109" s="185" t="s">
        <v>303</v>
      </c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7"/>
      <c r="Y109" s="44"/>
    </row>
    <row r="110" spans="1:25" ht="13.5" customHeight="1">
      <c r="A110" s="42"/>
      <c r="B110" s="42"/>
      <c r="C110" s="173"/>
      <c r="D110" s="174"/>
      <c r="E110" s="174"/>
      <c r="F110" s="174"/>
      <c r="G110" s="175"/>
      <c r="H110" s="188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90"/>
      <c r="Y110" s="44"/>
    </row>
    <row r="111" spans="1:25" ht="13.5" customHeight="1">
      <c r="A111" s="42"/>
      <c r="B111" s="42"/>
      <c r="C111" s="173"/>
      <c r="D111" s="174"/>
      <c r="E111" s="174"/>
      <c r="F111" s="174"/>
      <c r="G111" s="175"/>
      <c r="H111" s="154" t="s">
        <v>222</v>
      </c>
      <c r="I111" s="155"/>
      <c r="J111" s="155"/>
      <c r="K111" s="155"/>
      <c r="L111" s="155"/>
      <c r="M111" s="155"/>
      <c r="N111" s="155"/>
      <c r="O111" s="156"/>
      <c r="P111" s="39" t="s">
        <v>211</v>
      </c>
      <c r="Q111" s="40"/>
      <c r="R111" s="41"/>
      <c r="S111" s="39" t="s">
        <v>224</v>
      </c>
      <c r="T111" s="40"/>
      <c r="U111" s="40"/>
      <c r="V111" s="40"/>
      <c r="W111" s="40"/>
      <c r="X111" s="41"/>
      <c r="Y111" s="44"/>
    </row>
    <row r="112" spans="1:25" ht="13.5" customHeight="1">
      <c r="A112" s="42"/>
      <c r="B112" s="42"/>
      <c r="C112" s="170"/>
      <c r="D112" s="171"/>
      <c r="E112" s="171"/>
      <c r="F112" s="171"/>
      <c r="G112" s="172"/>
      <c r="H112" s="157"/>
      <c r="I112" s="158"/>
      <c r="J112" s="158"/>
      <c r="K112" s="158"/>
      <c r="L112" s="158"/>
      <c r="M112" s="158"/>
      <c r="N112" s="158"/>
      <c r="O112" s="159"/>
      <c r="P112" s="42"/>
      <c r="Q112" s="43"/>
      <c r="R112" s="44"/>
      <c r="S112" s="42"/>
      <c r="T112" s="43"/>
      <c r="U112" s="43"/>
      <c r="V112" s="43"/>
      <c r="W112" s="43"/>
      <c r="X112" s="44"/>
      <c r="Y112" s="44"/>
    </row>
    <row r="113" spans="1:25" ht="13.5" customHeight="1">
      <c r="A113" s="42"/>
      <c r="B113" s="39">
        <v>2</v>
      </c>
      <c r="C113" s="154" t="s">
        <v>192</v>
      </c>
      <c r="D113" s="168"/>
      <c r="E113" s="168"/>
      <c r="F113" s="168"/>
      <c r="G113" s="169"/>
      <c r="H113" s="154" t="s">
        <v>169</v>
      </c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9"/>
      <c r="Y113" s="44"/>
    </row>
    <row r="114" spans="1:25" ht="13.5" customHeight="1">
      <c r="A114" s="42"/>
      <c r="B114" s="42"/>
      <c r="C114" s="173"/>
      <c r="D114" s="174"/>
      <c r="E114" s="174"/>
      <c r="F114" s="174"/>
      <c r="G114" s="175"/>
      <c r="H114" s="170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2"/>
      <c r="Y114" s="44"/>
    </row>
    <row r="115" spans="1:25" ht="13.5" customHeight="1">
      <c r="A115" s="42"/>
      <c r="B115" s="42"/>
      <c r="C115" s="173"/>
      <c r="D115" s="174"/>
      <c r="E115" s="174"/>
      <c r="F115" s="174"/>
      <c r="G115" s="175"/>
      <c r="H115" s="154" t="s">
        <v>222</v>
      </c>
      <c r="I115" s="155"/>
      <c r="J115" s="155"/>
      <c r="K115" s="155"/>
      <c r="L115" s="155"/>
      <c r="M115" s="155"/>
      <c r="N115" s="155"/>
      <c r="O115" s="156"/>
      <c r="P115" s="39" t="s">
        <v>205</v>
      </c>
      <c r="Q115" s="40"/>
      <c r="R115" s="41"/>
      <c r="S115" s="39" t="s">
        <v>224</v>
      </c>
      <c r="T115" s="40"/>
      <c r="U115" s="40"/>
      <c r="V115" s="40"/>
      <c r="W115" s="40"/>
      <c r="X115" s="41"/>
      <c r="Y115" s="44"/>
    </row>
    <row r="116" spans="1:25" ht="13.5" customHeight="1">
      <c r="A116" s="42"/>
      <c r="B116" s="84"/>
      <c r="C116" s="170"/>
      <c r="D116" s="171"/>
      <c r="E116" s="171"/>
      <c r="F116" s="171"/>
      <c r="G116" s="172"/>
      <c r="H116" s="157"/>
      <c r="I116" s="158"/>
      <c r="J116" s="158"/>
      <c r="K116" s="158"/>
      <c r="L116" s="158"/>
      <c r="M116" s="158"/>
      <c r="N116" s="158"/>
      <c r="O116" s="159"/>
      <c r="P116" s="84"/>
      <c r="Q116" s="86"/>
      <c r="R116" s="87"/>
      <c r="S116" s="84"/>
      <c r="T116" s="86"/>
      <c r="U116" s="86"/>
      <c r="V116" s="86"/>
      <c r="W116" s="86"/>
      <c r="X116" s="87"/>
      <c r="Y116" s="44"/>
    </row>
    <row r="117" spans="1:25" ht="13.5" customHeight="1">
      <c r="A117" s="42"/>
      <c r="B117" s="39">
        <v>3</v>
      </c>
      <c r="C117" s="154" t="s">
        <v>201</v>
      </c>
      <c r="D117" s="168"/>
      <c r="E117" s="168"/>
      <c r="F117" s="168"/>
      <c r="G117" s="169"/>
      <c r="H117" s="154" t="s">
        <v>170</v>
      </c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9"/>
      <c r="Y117" s="44"/>
    </row>
    <row r="118" spans="1:25" ht="13.5" customHeight="1">
      <c r="A118" s="42"/>
      <c r="B118" s="42"/>
      <c r="C118" s="173"/>
      <c r="D118" s="174"/>
      <c r="E118" s="174"/>
      <c r="F118" s="174"/>
      <c r="G118" s="175"/>
      <c r="H118" s="170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2"/>
      <c r="Y118" s="44"/>
    </row>
    <row r="119" spans="1:25" ht="13.5" customHeight="1">
      <c r="A119" s="42"/>
      <c r="B119" s="42"/>
      <c r="C119" s="173"/>
      <c r="D119" s="174"/>
      <c r="E119" s="174"/>
      <c r="F119" s="174"/>
      <c r="G119" s="175"/>
      <c r="H119" s="154" t="s">
        <v>222</v>
      </c>
      <c r="I119" s="155"/>
      <c r="J119" s="155"/>
      <c r="K119" s="155"/>
      <c r="L119" s="155"/>
      <c r="M119" s="155"/>
      <c r="N119" s="155"/>
      <c r="O119" s="156"/>
      <c r="P119" s="39" t="s">
        <v>202</v>
      </c>
      <c r="Q119" s="40"/>
      <c r="R119" s="41"/>
      <c r="S119" s="39" t="s">
        <v>224</v>
      </c>
      <c r="T119" s="40"/>
      <c r="U119" s="40"/>
      <c r="V119" s="40"/>
      <c r="W119" s="40"/>
      <c r="X119" s="41"/>
      <c r="Y119" s="44"/>
    </row>
    <row r="120" spans="1:25" ht="13.5" customHeight="1">
      <c r="A120" s="42"/>
      <c r="B120" s="42"/>
      <c r="C120" s="173"/>
      <c r="D120" s="174"/>
      <c r="E120" s="174"/>
      <c r="F120" s="174"/>
      <c r="G120" s="175"/>
      <c r="H120" s="157"/>
      <c r="I120" s="158"/>
      <c r="J120" s="158"/>
      <c r="K120" s="158"/>
      <c r="L120" s="158"/>
      <c r="M120" s="158"/>
      <c r="N120" s="158"/>
      <c r="O120" s="159"/>
      <c r="P120" s="84"/>
      <c r="Q120" s="86"/>
      <c r="R120" s="87"/>
      <c r="S120" s="84"/>
      <c r="T120" s="86"/>
      <c r="U120" s="86"/>
      <c r="V120" s="86"/>
      <c r="W120" s="86"/>
      <c r="X120" s="87"/>
      <c r="Y120" s="44"/>
    </row>
    <row r="121" spans="1:25" ht="13.5" customHeight="1">
      <c r="A121" s="42"/>
      <c r="B121" s="42"/>
      <c r="C121" s="173"/>
      <c r="D121" s="174"/>
      <c r="E121" s="174"/>
      <c r="F121" s="174"/>
      <c r="G121" s="175"/>
      <c r="H121" s="154" t="s">
        <v>171</v>
      </c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9"/>
      <c r="Y121" s="44"/>
    </row>
    <row r="122" spans="1:25" ht="13.5" customHeight="1">
      <c r="A122" s="42"/>
      <c r="B122" s="42"/>
      <c r="C122" s="173"/>
      <c r="D122" s="174"/>
      <c r="E122" s="174"/>
      <c r="F122" s="174"/>
      <c r="G122" s="175"/>
      <c r="H122" s="170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2"/>
      <c r="Y122" s="44"/>
    </row>
    <row r="123" spans="1:25" ht="13.5" customHeight="1">
      <c r="A123" s="42"/>
      <c r="B123" s="42"/>
      <c r="C123" s="173"/>
      <c r="D123" s="174"/>
      <c r="E123" s="174"/>
      <c r="F123" s="174"/>
      <c r="G123" s="175"/>
      <c r="H123" s="154" t="s">
        <v>222</v>
      </c>
      <c r="I123" s="155"/>
      <c r="J123" s="155"/>
      <c r="K123" s="155"/>
      <c r="L123" s="155"/>
      <c r="M123" s="155"/>
      <c r="N123" s="155"/>
      <c r="O123" s="156"/>
      <c r="P123" s="39" t="s">
        <v>202</v>
      </c>
      <c r="Q123" s="40"/>
      <c r="R123" s="41"/>
      <c r="S123" s="39" t="s">
        <v>224</v>
      </c>
      <c r="T123" s="40"/>
      <c r="U123" s="40"/>
      <c r="V123" s="40"/>
      <c r="W123" s="40"/>
      <c r="X123" s="41"/>
      <c r="Y123" s="44"/>
    </row>
    <row r="124" spans="1:25" ht="13.5" customHeight="1">
      <c r="A124" s="42"/>
      <c r="B124" s="83"/>
      <c r="C124" s="170"/>
      <c r="D124" s="171"/>
      <c r="E124" s="171"/>
      <c r="F124" s="171"/>
      <c r="G124" s="172"/>
      <c r="H124" s="157"/>
      <c r="I124" s="158"/>
      <c r="J124" s="158"/>
      <c r="K124" s="158"/>
      <c r="L124" s="158"/>
      <c r="M124" s="158"/>
      <c r="N124" s="158"/>
      <c r="O124" s="159"/>
      <c r="P124" s="84"/>
      <c r="Q124" s="86"/>
      <c r="R124" s="87"/>
      <c r="S124" s="84"/>
      <c r="T124" s="86"/>
      <c r="U124" s="86"/>
      <c r="V124" s="86"/>
      <c r="W124" s="86"/>
      <c r="X124" s="87"/>
      <c r="Y124" s="44"/>
    </row>
    <row r="125" spans="1:25" ht="13.5" customHeight="1">
      <c r="A125" s="42"/>
      <c r="B125" s="39">
        <v>4</v>
      </c>
      <c r="C125" s="154" t="s">
        <v>203</v>
      </c>
      <c r="D125" s="168"/>
      <c r="E125" s="168"/>
      <c r="F125" s="168"/>
      <c r="G125" s="169"/>
      <c r="H125" s="154" t="s">
        <v>172</v>
      </c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9"/>
      <c r="Y125" s="44"/>
    </row>
    <row r="126" spans="1:25" ht="13.5" customHeight="1">
      <c r="A126" s="42"/>
      <c r="B126" s="42"/>
      <c r="C126" s="173"/>
      <c r="D126" s="174"/>
      <c r="E126" s="174"/>
      <c r="F126" s="174"/>
      <c r="G126" s="175"/>
      <c r="H126" s="170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2"/>
      <c r="Y126" s="44"/>
    </row>
    <row r="127" spans="1:25" ht="13.5" customHeight="1">
      <c r="A127" s="42"/>
      <c r="B127" s="42"/>
      <c r="C127" s="173"/>
      <c r="D127" s="174"/>
      <c r="E127" s="174"/>
      <c r="F127" s="174"/>
      <c r="G127" s="175"/>
      <c r="H127" s="154" t="s">
        <v>222</v>
      </c>
      <c r="I127" s="155"/>
      <c r="J127" s="155"/>
      <c r="K127" s="155"/>
      <c r="L127" s="155"/>
      <c r="M127" s="155"/>
      <c r="N127" s="155"/>
      <c r="O127" s="156"/>
      <c r="P127" s="39" t="s">
        <v>204</v>
      </c>
      <c r="Q127" s="40"/>
      <c r="R127" s="41"/>
      <c r="S127" s="39" t="s">
        <v>224</v>
      </c>
      <c r="T127" s="40"/>
      <c r="U127" s="40"/>
      <c r="V127" s="40"/>
      <c r="W127" s="40"/>
      <c r="X127" s="41"/>
      <c r="Y127" s="44"/>
    </row>
    <row r="128" spans="1:25" ht="13.5" customHeight="1">
      <c r="A128" s="42"/>
      <c r="B128" s="42"/>
      <c r="C128" s="170"/>
      <c r="D128" s="171"/>
      <c r="E128" s="171"/>
      <c r="F128" s="171"/>
      <c r="G128" s="172"/>
      <c r="H128" s="157"/>
      <c r="I128" s="158"/>
      <c r="J128" s="158"/>
      <c r="K128" s="158"/>
      <c r="L128" s="158"/>
      <c r="M128" s="158"/>
      <c r="N128" s="158"/>
      <c r="O128" s="159"/>
      <c r="P128" s="84"/>
      <c r="Q128" s="86"/>
      <c r="R128" s="87"/>
      <c r="S128" s="84"/>
      <c r="T128" s="86"/>
      <c r="U128" s="86"/>
      <c r="V128" s="86"/>
      <c r="W128" s="86"/>
      <c r="X128" s="87"/>
      <c r="Y128" s="44"/>
    </row>
    <row r="129" spans="1:25" ht="13.5" customHeight="1">
      <c r="A129" s="42"/>
      <c r="B129" s="124">
        <v>5</v>
      </c>
      <c r="C129" s="154" t="s">
        <v>196</v>
      </c>
      <c r="D129" s="168"/>
      <c r="E129" s="168"/>
      <c r="F129" s="168"/>
      <c r="G129" s="169"/>
      <c r="H129" s="154" t="s">
        <v>173</v>
      </c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9"/>
      <c r="Y129" s="44"/>
    </row>
    <row r="130" spans="1:25" ht="13.5" customHeight="1">
      <c r="A130" s="42"/>
      <c r="B130" s="94"/>
      <c r="C130" s="173"/>
      <c r="D130" s="174"/>
      <c r="E130" s="174"/>
      <c r="F130" s="174"/>
      <c r="G130" s="175"/>
      <c r="H130" s="170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2"/>
      <c r="Y130" s="44"/>
    </row>
    <row r="131" spans="1:25" ht="13.5" customHeight="1">
      <c r="A131" s="42"/>
      <c r="B131" s="94"/>
      <c r="C131" s="173"/>
      <c r="D131" s="174"/>
      <c r="E131" s="174"/>
      <c r="F131" s="174"/>
      <c r="G131" s="175"/>
      <c r="H131" s="154" t="s">
        <v>222</v>
      </c>
      <c r="I131" s="155"/>
      <c r="J131" s="155"/>
      <c r="K131" s="155"/>
      <c r="L131" s="155"/>
      <c r="M131" s="155"/>
      <c r="N131" s="155"/>
      <c r="O131" s="156"/>
      <c r="P131" s="39" t="s">
        <v>212</v>
      </c>
      <c r="Q131" s="40"/>
      <c r="R131" s="41"/>
      <c r="S131" s="39" t="s">
        <v>224</v>
      </c>
      <c r="T131" s="40"/>
      <c r="U131" s="40"/>
      <c r="V131" s="40"/>
      <c r="W131" s="40"/>
      <c r="X131" s="41"/>
      <c r="Y131" s="44"/>
    </row>
    <row r="132" spans="1:25" ht="13.5" customHeight="1">
      <c r="A132" s="42"/>
      <c r="B132" s="83"/>
      <c r="C132" s="170"/>
      <c r="D132" s="171"/>
      <c r="E132" s="171"/>
      <c r="F132" s="171"/>
      <c r="G132" s="172"/>
      <c r="H132" s="157"/>
      <c r="I132" s="158"/>
      <c r="J132" s="158"/>
      <c r="K132" s="158"/>
      <c r="L132" s="158"/>
      <c r="M132" s="158"/>
      <c r="N132" s="158"/>
      <c r="O132" s="159"/>
      <c r="P132" s="84"/>
      <c r="Q132" s="86"/>
      <c r="R132" s="87"/>
      <c r="S132" s="84"/>
      <c r="T132" s="86"/>
      <c r="U132" s="86"/>
      <c r="V132" s="86"/>
      <c r="W132" s="86"/>
      <c r="X132" s="87"/>
      <c r="Y132" s="44"/>
    </row>
    <row r="133" spans="1:25" ht="13.5" customHeight="1">
      <c r="A133" s="42"/>
      <c r="B133" s="124">
        <v>6</v>
      </c>
      <c r="C133" s="154" t="s">
        <v>199</v>
      </c>
      <c r="D133" s="168"/>
      <c r="E133" s="168"/>
      <c r="F133" s="168"/>
      <c r="G133" s="169"/>
      <c r="H133" s="154" t="s">
        <v>200</v>
      </c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9"/>
      <c r="Y133" s="44"/>
    </row>
    <row r="134" spans="1:25" ht="13.5" customHeight="1">
      <c r="A134" s="42"/>
      <c r="B134" s="94"/>
      <c r="C134" s="173"/>
      <c r="D134" s="174"/>
      <c r="E134" s="174"/>
      <c r="F134" s="174"/>
      <c r="G134" s="175"/>
      <c r="H134" s="170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2"/>
      <c r="Y134" s="44"/>
    </row>
    <row r="135" spans="1:25" ht="13.5" customHeight="1">
      <c r="A135" s="42"/>
      <c r="B135" s="94"/>
      <c r="C135" s="173"/>
      <c r="D135" s="174"/>
      <c r="E135" s="174"/>
      <c r="F135" s="174"/>
      <c r="G135" s="175"/>
      <c r="H135" s="154" t="s">
        <v>222</v>
      </c>
      <c r="I135" s="155"/>
      <c r="J135" s="155"/>
      <c r="K135" s="155"/>
      <c r="L135" s="155"/>
      <c r="M135" s="155"/>
      <c r="N135" s="155"/>
      <c r="O135" s="156"/>
      <c r="P135" s="39" t="s">
        <v>220</v>
      </c>
      <c r="Q135" s="40"/>
      <c r="R135" s="41"/>
      <c r="S135" s="154" t="s">
        <v>225</v>
      </c>
      <c r="T135" s="168"/>
      <c r="U135" s="168"/>
      <c r="V135" s="168"/>
      <c r="W135" s="168"/>
      <c r="X135" s="169"/>
      <c r="Y135" s="44"/>
    </row>
    <row r="136" spans="1:25" ht="13.5" customHeight="1">
      <c r="A136" s="42"/>
      <c r="B136" s="83"/>
      <c r="C136" s="170"/>
      <c r="D136" s="171"/>
      <c r="E136" s="171"/>
      <c r="F136" s="171"/>
      <c r="G136" s="172"/>
      <c r="H136" s="157"/>
      <c r="I136" s="158"/>
      <c r="J136" s="158"/>
      <c r="K136" s="158"/>
      <c r="L136" s="158"/>
      <c r="M136" s="158"/>
      <c r="N136" s="158"/>
      <c r="O136" s="159"/>
      <c r="P136" s="84"/>
      <c r="Q136" s="86"/>
      <c r="R136" s="87"/>
      <c r="S136" s="170"/>
      <c r="T136" s="171"/>
      <c r="U136" s="171"/>
      <c r="V136" s="171"/>
      <c r="W136" s="171"/>
      <c r="X136" s="172"/>
      <c r="Y136" s="44"/>
    </row>
    <row r="137" spans="1:25" ht="13.5" customHeight="1">
      <c r="A137" s="115"/>
      <c r="B137" s="43" t="s">
        <v>227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116"/>
    </row>
    <row r="138" spans="1:25" ht="13.5" customHeight="1">
      <c r="A138" s="115"/>
      <c r="B138" s="43" t="s">
        <v>228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116"/>
    </row>
    <row r="139" spans="1:25" ht="13.5" customHeight="1">
      <c r="A139" s="115"/>
      <c r="B139" s="29" t="s">
        <v>296</v>
      </c>
      <c r="C139" s="29"/>
      <c r="D139" s="125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8"/>
      <c r="X139" s="28"/>
      <c r="Y139" s="116"/>
    </row>
    <row r="140" spans="1:25" ht="13.5" customHeight="1">
      <c r="A140" s="115"/>
      <c r="B140" s="29"/>
      <c r="C140" s="126" t="s">
        <v>10</v>
      </c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1" t="s">
        <v>297</v>
      </c>
      <c r="O140" s="32"/>
      <c r="P140" s="32"/>
      <c r="Q140" s="32"/>
      <c r="R140" s="33"/>
      <c r="S140" s="29"/>
      <c r="T140" s="28"/>
      <c r="U140" s="28"/>
      <c r="V140" s="29"/>
      <c r="W140" s="28"/>
      <c r="X140" s="28"/>
      <c r="Y140" s="116"/>
    </row>
    <row r="141" spans="1:25" ht="13.5" customHeight="1">
      <c r="A141" s="115"/>
      <c r="B141" s="29"/>
      <c r="C141" s="127" t="s">
        <v>299</v>
      </c>
      <c r="D141" s="34"/>
      <c r="E141" s="34"/>
      <c r="F141" s="34"/>
      <c r="G141" s="34"/>
      <c r="H141" s="34"/>
      <c r="I141" s="34"/>
      <c r="J141" s="34"/>
      <c r="K141" s="34"/>
      <c r="L141" s="34"/>
      <c r="M141" s="35"/>
      <c r="N141" s="36" t="s">
        <v>298</v>
      </c>
      <c r="O141" s="37"/>
      <c r="P141" s="37"/>
      <c r="Q141" s="37"/>
      <c r="R141" s="38"/>
      <c r="S141" s="29"/>
      <c r="T141" s="28"/>
      <c r="U141" s="28"/>
      <c r="V141" s="29"/>
      <c r="W141" s="28"/>
      <c r="X141" s="28"/>
      <c r="Y141" s="116"/>
    </row>
    <row r="142" spans="1:25" ht="13.5" customHeight="1">
      <c r="A142" s="115"/>
      <c r="B142" s="43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116"/>
    </row>
    <row r="143" spans="1:25" ht="13.5" customHeight="1">
      <c r="A143" s="115"/>
      <c r="B143" s="43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116"/>
    </row>
    <row r="144" spans="1:25" ht="13.5" customHeight="1">
      <c r="A144" s="115"/>
      <c r="B144" s="43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116"/>
    </row>
    <row r="145" spans="1:25" ht="13.5" customHeight="1">
      <c r="A145" s="115"/>
      <c r="B145" s="43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116"/>
    </row>
    <row r="146" spans="1:25" ht="13.5" customHeight="1">
      <c r="A146" s="115"/>
      <c r="B146" s="43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116"/>
    </row>
    <row r="147" spans="1:25" ht="13.5" customHeight="1">
      <c r="A147" s="115"/>
      <c r="B147" s="43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116"/>
    </row>
    <row r="148" spans="1:25" ht="13.5" customHeight="1">
      <c r="A148" s="115"/>
      <c r="B148" s="43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116"/>
    </row>
    <row r="149" spans="1:25" ht="13.5" customHeight="1">
      <c r="A149" s="115"/>
      <c r="B149" s="43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116"/>
    </row>
    <row r="150" spans="1:25" ht="13.5" customHeight="1">
      <c r="A150" s="115"/>
      <c r="B150" s="43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116"/>
    </row>
    <row r="151" spans="1:25" ht="13.5" customHeight="1">
      <c r="A151" s="115"/>
      <c r="B151" s="43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116"/>
    </row>
    <row r="152" spans="1:25" ht="13.5" customHeight="1">
      <c r="A152" s="115"/>
      <c r="B152" s="43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116"/>
    </row>
    <row r="153" spans="1:25" ht="13.5" customHeight="1">
      <c r="A153" s="115"/>
      <c r="B153" s="43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116"/>
    </row>
    <row r="154" spans="1:25" ht="13.5" customHeight="1">
      <c r="A154" s="115"/>
      <c r="B154" s="43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116"/>
    </row>
    <row r="155" spans="1:25" ht="13.5" customHeight="1">
      <c r="A155" s="84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7"/>
    </row>
  </sheetData>
  <mergeCells count="29">
    <mergeCell ref="H121:X122"/>
    <mergeCell ref="H123:O124"/>
    <mergeCell ref="D1:Y1"/>
    <mergeCell ref="D2:Y2"/>
    <mergeCell ref="A3:Y3"/>
    <mergeCell ref="A4:Y5"/>
    <mergeCell ref="D6:Y6"/>
    <mergeCell ref="B10:B11"/>
    <mergeCell ref="B62:B63"/>
    <mergeCell ref="C107:G108"/>
    <mergeCell ref="C109:G112"/>
    <mergeCell ref="H109:X110"/>
    <mergeCell ref="H111:O112"/>
    <mergeCell ref="C133:G136"/>
    <mergeCell ref="H133:X134"/>
    <mergeCell ref="H135:O136"/>
    <mergeCell ref="S135:X136"/>
    <mergeCell ref="C113:G116"/>
    <mergeCell ref="C129:G132"/>
    <mergeCell ref="H129:X130"/>
    <mergeCell ref="H131:O132"/>
    <mergeCell ref="C125:G128"/>
    <mergeCell ref="H125:X126"/>
    <mergeCell ref="H127:O128"/>
    <mergeCell ref="H113:X114"/>
    <mergeCell ref="H115:O116"/>
    <mergeCell ref="C117:G124"/>
    <mergeCell ref="H117:X118"/>
    <mergeCell ref="H119:O120"/>
  </mergeCells>
  <phoneticPr fontId="2"/>
  <printOptions horizontalCentered="1"/>
  <pageMargins left="0.78740157480314965" right="0.78740157480314965" top="0.78740157480314965" bottom="0.78740157480314965" header="0.51181102362204722" footer="0.51181102362204722"/>
  <pageSetup paperSize="9" orientation="portrait" r:id="rId1"/>
  <headerFooter scaleWithDoc="0" alignWithMargins="0">
    <oddFooter>&amp;C3.1.10-&amp;P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9</vt:i4>
      </vt:variant>
    </vt:vector>
  </HeadingPairs>
  <TitlesOfParts>
    <vt:vector size="14" baseType="lpstr">
      <vt:lpstr>目次</vt:lpstr>
      <vt:lpstr>災害一覧</vt:lpstr>
      <vt:lpstr>災害登録</vt:lpstr>
      <vt:lpstr>災害詳細</vt:lpstr>
      <vt:lpstr>災害修正</vt:lpstr>
      <vt:lpstr>災害一覧!Print_Area</vt:lpstr>
      <vt:lpstr>災害修正!Print_Area</vt:lpstr>
      <vt:lpstr>災害詳細!Print_Area</vt:lpstr>
      <vt:lpstr>災害登録!Print_Area</vt:lpstr>
      <vt:lpstr>目次!Print_Area</vt:lpstr>
      <vt:lpstr>災害一覧!Print_Titles</vt:lpstr>
      <vt:lpstr>災害修正!Print_Titles</vt:lpstr>
      <vt:lpstr>災害詳細!Print_Titles</vt:lpstr>
      <vt:lpstr>災害登録!Print_Titles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1001007105</dc:creator>
  <cp:lastModifiedBy>exeo</cp:lastModifiedBy>
  <cp:lastPrinted>2016-01-14T05:56:16Z</cp:lastPrinted>
  <dcterms:created xsi:type="dcterms:W3CDTF">2008-09-11T04:09:44Z</dcterms:created>
  <dcterms:modified xsi:type="dcterms:W3CDTF">2018-05-08T12:22:00Z</dcterms:modified>
</cp:coreProperties>
</file>