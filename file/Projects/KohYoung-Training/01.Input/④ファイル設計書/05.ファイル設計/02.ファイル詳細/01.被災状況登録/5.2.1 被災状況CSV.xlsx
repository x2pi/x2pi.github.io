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02\share\108_災対用ビル別情報マップ\320_クラウド版\備蓄品管理システム\01_設計書\④ファイル設計書\05.ファイル設計\02.ファイル詳細\01.被災状況登録\"/>
    </mc:Choice>
  </mc:AlternateContent>
  <bookViews>
    <workbookView xWindow="96" yWindow="168" windowWidth="15396" windowHeight="10920" tabRatio="869" activeTab="2"/>
  </bookViews>
  <sheets>
    <sheet name="目次" sheetId="1" r:id="rId1"/>
    <sheet name="被災状況CSVV_1(ヘッダ)" sheetId="25" r:id="rId2"/>
    <sheet name="被災状況CSV_1(データ)" sheetId="26" r:id="rId3"/>
    <sheet name="被災状況CSV_2" sheetId="27" r:id="rId4"/>
  </sheets>
  <definedNames>
    <definedName name="_xlnm.Print_Area" localSheetId="2">'被災状況CSV_1(データ)'!$A$1:$AL$74</definedName>
    <definedName name="_xlnm.Print_Area" localSheetId="3">被災状況CSV_2!$A$1:$AL$38</definedName>
    <definedName name="_xlnm.Print_Area" localSheetId="1">'被災状況CSVV_1(ヘッダ)'!$A$1:$AL$74</definedName>
    <definedName name="_xlnm.Print_Area" localSheetId="0">目次!$A$1:$Y$56</definedName>
    <definedName name="_xlnm.Print_Titles" localSheetId="2">'被災状況CSV_1(データ)'!$1:$4</definedName>
    <definedName name="_xlnm.Print_Titles" localSheetId="3">被災状況CSV_2!$1:$4</definedName>
    <definedName name="_xlnm.Print_Titles" localSheetId="1">'被災状況CSVV_1(ヘッダ)'!$1:$4</definedName>
    <definedName name="Z_0BEAC79D_708F_45FD_A222_055D201B52D5_.wvu.PrintArea" localSheetId="0" hidden="1">目次!$A$1:$Y$56</definedName>
    <definedName name="Z_306D1AAA_0140_4D40_9745_D8F442D56CF2_.wvu.PrintArea" localSheetId="0" hidden="1">目次!$A$1:$Y$56</definedName>
    <definedName name="Z_BDBA9E3C_757D_4583_A236_21E32FC5642C_.wvu.PrintArea" localSheetId="0" hidden="1">目次!$A$1:$Y$56</definedName>
  </definedNames>
  <calcPr calcId="152511"/>
  <customWorkbookViews>
    <customWorkbookView name="1001010090 - 個人用ビュー" guid="{0BEAC79D-708F-45FD-A222-055D201B52D5}" mergeInterval="0" personalView="1" maximized="1" windowWidth="1020" windowHeight="577" tabRatio="870" activeSheetId="7"/>
    <customWorkbookView name="densei - 個人用ビュー" guid="{306D1AAA-0140-4D40-9745-D8F442D56CF2}" mergeInterval="0" personalView="1" maximized="1" xWindow="1" yWindow="1" windowWidth="652" windowHeight="802" tabRatio="870" activeSheetId="1"/>
    <customWorkbookView name="y-sakaki - 個人用ビュー" guid="{BDBA9E3C-757D-4583-A236-21E32FC5642C}" mergeInterval="0" personalView="1" xWindow="12" yWindow="38" windowWidth="1014" windowHeight="695" tabRatio="870" activeSheetId="20"/>
  </customWorkbookViews>
</workbook>
</file>

<file path=xl/calcChain.xml><?xml version="1.0" encoding="utf-8"?>
<calcChain xmlns="http://schemas.openxmlformats.org/spreadsheetml/2006/main">
  <c r="C19" i="25" l="1"/>
  <c r="B14" i="26" l="1"/>
  <c r="B23" i="25"/>
  <c r="C21" i="25"/>
  <c r="C23" i="25" l="1"/>
  <c r="B25" i="25"/>
  <c r="C25" i="25" s="1"/>
  <c r="B16" i="26"/>
  <c r="B12" i="25" l="1"/>
  <c r="B14" i="25" s="1"/>
  <c r="B16" i="25" s="1"/>
  <c r="A2" i="27"/>
  <c r="B18" i="26"/>
  <c r="B20" i="26" s="1"/>
  <c r="B22" i="26" s="1"/>
  <c r="B24" i="26" s="1"/>
  <c r="B26" i="26" s="1"/>
  <c r="B29" i="26" s="1"/>
  <c r="B31" i="26" s="1"/>
  <c r="A2" i="26"/>
  <c r="B33" i="26" l="1"/>
  <c r="B35" i="26" s="1"/>
  <c r="B37" i="26" s="1"/>
  <c r="B45" i="26" s="1"/>
  <c r="B47" i="26" s="1"/>
  <c r="B49" i="26" s="1"/>
  <c r="B27" i="25"/>
  <c r="B29" i="25" l="1"/>
  <c r="C27" i="25"/>
  <c r="A4" i="1"/>
  <c r="D8" i="1"/>
  <c r="B31" i="25" l="1"/>
  <c r="C29" i="25"/>
  <c r="P2" i="26"/>
  <c r="P2" i="27"/>
  <c r="E4" i="27"/>
  <c r="E4" i="26"/>
  <c r="D34" i="1"/>
  <c r="D32" i="1"/>
  <c r="D30" i="1"/>
  <c r="D28" i="1"/>
  <c r="D26" i="1"/>
  <c r="D24" i="1"/>
  <c r="D22" i="1"/>
  <c r="D20" i="1"/>
  <c r="D18" i="1"/>
  <c r="D16" i="1"/>
  <c r="D14" i="1"/>
  <c r="D12" i="1"/>
  <c r="D10" i="1"/>
  <c r="B33" i="25" l="1"/>
  <c r="C31" i="25"/>
  <c r="E4" i="25"/>
  <c r="A2" i="25"/>
  <c r="D2" i="1"/>
  <c r="P2" i="25"/>
  <c r="I2" i="26" l="1"/>
  <c r="I2" i="27"/>
  <c r="B35" i="25"/>
  <c r="C33" i="25"/>
  <c r="I2" i="25"/>
  <c r="B37" i="25" l="1"/>
  <c r="C35" i="25"/>
  <c r="B45" i="25" l="1"/>
  <c r="B47" i="25" s="1"/>
  <c r="C37" i="25"/>
  <c r="C47" i="25" l="1"/>
  <c r="B49" i="25"/>
  <c r="C45" i="25"/>
  <c r="B51" i="25" l="1"/>
  <c r="C49" i="25"/>
  <c r="B53" i="25" l="1"/>
  <c r="C51" i="25"/>
  <c r="B55" i="25" l="1"/>
  <c r="C53" i="25"/>
  <c r="B57" i="25" l="1"/>
  <c r="C57" i="25" s="1"/>
  <c r="C55" i="25"/>
</calcChain>
</file>

<file path=xl/sharedStrings.xml><?xml version="1.0" encoding="utf-8"?>
<sst xmlns="http://schemas.openxmlformats.org/spreadsheetml/2006/main" count="359" uniqueCount="167">
  <si>
    <t>章番号</t>
    <rPh sb="0" eb="1">
      <t>ショウ</t>
    </rPh>
    <rPh sb="1" eb="3">
      <t>バンゴウ</t>
    </rPh>
    <phoneticPr fontId="2"/>
  </si>
  <si>
    <t>機能名</t>
    <rPh sb="0" eb="2">
      <t>キノウ</t>
    </rPh>
    <rPh sb="2" eb="3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</si>
  <si>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</si>
  <si>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</si>
  <si>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2">
      <t>コウシン</t>
    </rPh>
    <rPh sb="2" eb="3">
      <t>シャ</t>
    </rPh>
    <phoneticPr fontId="2"/>
  </si>
  <si>
    <t>システム名</t>
    <rPh sb="4" eb="5">
      <t>メイ</t>
    </rPh>
    <phoneticPr fontId="2"/>
  </si>
  <si>
    <t>協和エクシオ</t>
    <rPh sb="0" eb="2">
      <t>キョウワ</t>
    </rPh>
    <phoneticPr fontId="2"/>
  </si>
  <si>
    <t>項目名</t>
    <rPh sb="0" eb="2">
      <t>コウモク</t>
    </rPh>
    <rPh sb="2" eb="3">
      <t>メイ</t>
    </rPh>
    <phoneticPr fontId="2"/>
  </si>
  <si>
    <t>更新日</t>
    <rPh sb="0" eb="3">
      <t>コウシンビ</t>
    </rPh>
    <phoneticPr fontId="2"/>
  </si>
  <si>
    <t>章</t>
    <rPh sb="0" eb="1">
      <t>ショウ</t>
    </rPh>
    <phoneticPr fontId="2"/>
  </si>
  <si>
    <t>節</t>
    <rPh sb="0" eb="1">
      <t>セツ</t>
    </rPh>
    <phoneticPr fontId="2"/>
  </si>
  <si>
    <t>項</t>
    <rPh sb="0" eb="1">
      <t>コウ</t>
    </rPh>
    <phoneticPr fontId="2"/>
  </si>
  <si>
    <t>段</t>
    <rPh sb="0" eb="1">
      <t>ダン</t>
    </rPh>
    <phoneticPr fontId="2"/>
  </si>
  <si>
    <t>番</t>
    <rPh sb="0" eb="1">
      <t>バン</t>
    </rPh>
    <phoneticPr fontId="2"/>
  </si>
  <si>
    <t>機能名</t>
    <rPh sb="0" eb="2">
      <t>キノウ</t>
    </rPh>
    <rPh sb="2" eb="3">
      <t>メイ</t>
    </rPh>
    <phoneticPr fontId="2"/>
  </si>
  <si>
    <t>章分類</t>
    <rPh sb="0" eb="1">
      <t>ショウ</t>
    </rPh>
    <rPh sb="1" eb="3">
      <t>ブンルイ</t>
    </rPh>
    <phoneticPr fontId="2"/>
  </si>
  <si>
    <t>節分類</t>
    <rPh sb="0" eb="1">
      <t>セツ</t>
    </rPh>
    <rPh sb="1" eb="3">
      <t>ブンルイ</t>
    </rPh>
    <phoneticPr fontId="2"/>
  </si>
  <si>
    <t>章番号</t>
  </si>
  <si>
    <t>機能名</t>
  </si>
  <si>
    <t>Ｖｅｒ.</t>
    <phoneticPr fontId="2"/>
  </si>
  <si>
    <t>1.0</t>
    <phoneticPr fontId="2"/>
  </si>
  <si>
    <t>項目説明</t>
    <rPh sb="0" eb="2">
      <t>コウモク</t>
    </rPh>
    <rPh sb="2" eb="4">
      <t>セツメイ</t>
    </rPh>
    <phoneticPr fontId="2"/>
  </si>
  <si>
    <t>属性</t>
    <rPh sb="0" eb="2">
      <t>ゾクセイ</t>
    </rPh>
    <phoneticPr fontId="2"/>
  </si>
  <si>
    <t>災対用ビル別情報マップ</t>
    <phoneticPr fontId="2"/>
  </si>
  <si>
    <t>ファイル設計</t>
    <rPh sb="4" eb="6">
      <t>セッケイ</t>
    </rPh>
    <phoneticPr fontId="2"/>
  </si>
  <si>
    <t>ファイル詳細</t>
    <phoneticPr fontId="2"/>
  </si>
  <si>
    <t>ファイル名</t>
    <rPh sb="4" eb="5">
      <t>メイ</t>
    </rPh>
    <phoneticPr fontId="2"/>
  </si>
  <si>
    <t>出力形態</t>
    <rPh sb="0" eb="2">
      <t>シュツリョク</t>
    </rPh>
    <rPh sb="2" eb="4">
      <t>ケイタイ</t>
    </rPh>
    <phoneticPr fontId="2"/>
  </si>
  <si>
    <t>CSV</t>
    <phoneticPr fontId="2"/>
  </si>
  <si>
    <t>－</t>
    <phoneticPr fontId="2"/>
  </si>
  <si>
    <t>№</t>
    <phoneticPr fontId="2"/>
  </si>
  <si>
    <t>フォーマット</t>
    <phoneticPr fontId="2"/>
  </si>
  <si>
    <t>必須</t>
    <rPh sb="0" eb="2">
      <t>ヒッス</t>
    </rPh>
    <phoneticPr fontId="2"/>
  </si>
  <si>
    <t>桁数</t>
    <rPh sb="0" eb="1">
      <t>ケタ</t>
    </rPh>
    <rPh sb="1" eb="2">
      <t>カズ</t>
    </rPh>
    <phoneticPr fontId="2"/>
  </si>
  <si>
    <t>ソート順序</t>
    <rPh sb="3" eb="5">
      <t>ジュンジョ</t>
    </rPh>
    <phoneticPr fontId="2"/>
  </si>
  <si>
    <t>1</t>
    <phoneticPr fontId="2"/>
  </si>
  <si>
    <t>昇順/降順</t>
    <rPh sb="0" eb="2">
      <t>ショウジュン</t>
    </rPh>
    <rPh sb="3" eb="5">
      <t>コウジュン</t>
    </rPh>
    <phoneticPr fontId="2"/>
  </si>
  <si>
    <t>備考</t>
    <rPh sb="0" eb="2">
      <t>ビコウ</t>
    </rPh>
    <phoneticPr fontId="2"/>
  </si>
  <si>
    <t>画面名称</t>
    <rPh sb="0" eb="2">
      <t>ガメン</t>
    </rPh>
    <rPh sb="2" eb="4">
      <t>メイショウ</t>
    </rPh>
    <phoneticPr fontId="2"/>
  </si>
  <si>
    <t>-</t>
    <phoneticPr fontId="2"/>
  </si>
  <si>
    <t>【データエリア】</t>
    <phoneticPr fontId="2"/>
  </si>
  <si>
    <t>○</t>
    <phoneticPr fontId="2"/>
  </si>
  <si>
    <t>全半角</t>
    <phoneticPr fontId="2"/>
  </si>
  <si>
    <t>登録日時</t>
    <rPh sb="0" eb="2">
      <t>トウロク</t>
    </rPh>
    <rPh sb="2" eb="4">
      <t>ニチジ</t>
    </rPh>
    <phoneticPr fontId="2"/>
  </si>
  <si>
    <t>yyyy/mm/dd hh:mm</t>
    <phoneticPr fontId="2"/>
  </si>
  <si>
    <t>－</t>
    <phoneticPr fontId="2"/>
  </si>
  <si>
    <t>【2】ソート条件　1/1</t>
    <rPh sb="6" eb="8">
      <t>ジョウケン</t>
    </rPh>
    <phoneticPr fontId="2"/>
  </si>
  <si>
    <t>【3】出力元機能　1/1</t>
    <phoneticPr fontId="2"/>
  </si>
  <si>
    <t>データ数により動的に行を追加</t>
    <rPh sb="3" eb="4">
      <t>スウ</t>
    </rPh>
    <rPh sb="7" eb="9">
      <t>ドウテキ</t>
    </rPh>
    <rPh sb="10" eb="11">
      <t>ギョウ</t>
    </rPh>
    <rPh sb="12" eb="14">
      <t>ツイカ</t>
    </rPh>
    <phoneticPr fontId="2"/>
  </si>
  <si>
    <t>年月日時分</t>
    <phoneticPr fontId="2"/>
  </si>
  <si>
    <t>最終更新日時</t>
    <rPh sb="0" eb="2">
      <t>サイシュウ</t>
    </rPh>
    <rPh sb="2" eb="4">
      <t>コウシン</t>
    </rPh>
    <rPh sb="4" eb="6">
      <t>ニチジ</t>
    </rPh>
    <phoneticPr fontId="2"/>
  </si>
  <si>
    <t>－</t>
    <phoneticPr fontId="2"/>
  </si>
  <si>
    <t>最大50</t>
    <rPh sb="0" eb="2">
      <t>サイダイ</t>
    </rPh>
    <phoneticPr fontId="2"/>
  </si>
  <si>
    <t>会社名</t>
    <rPh sb="0" eb="2">
      <t>カイシャ</t>
    </rPh>
    <rPh sb="2" eb="3">
      <t>メイ</t>
    </rPh>
    <phoneticPr fontId="2"/>
  </si>
  <si>
    <t>半角英数記号</t>
    <rPh sb="0" eb="2">
      <t>ハンカク</t>
    </rPh>
    <rPh sb="2" eb="4">
      <t>エイスウ</t>
    </rPh>
    <rPh sb="4" eb="6">
      <t>キゴウ</t>
    </rPh>
    <phoneticPr fontId="2"/>
  </si>
  <si>
    <t>最大13</t>
    <rPh sb="0" eb="2">
      <t>サイダイ</t>
    </rPh>
    <phoneticPr fontId="2"/>
  </si>
  <si>
    <t>半角ハイフン付きも許容</t>
    <rPh sb="0" eb="2">
      <t>ハンカク</t>
    </rPh>
    <rPh sb="6" eb="7">
      <t>ツ</t>
    </rPh>
    <rPh sb="9" eb="11">
      <t>キョヨウ</t>
    </rPh>
    <phoneticPr fontId="2"/>
  </si>
  <si>
    <t>2</t>
    <phoneticPr fontId="2"/>
  </si>
  <si>
    <t>最大15</t>
    <rPh sb="0" eb="2">
      <t>サイダイ</t>
    </rPh>
    <phoneticPr fontId="2"/>
  </si>
  <si>
    <t>【ヘッダーエリア①】</t>
    <phoneticPr fontId="2"/>
  </si>
  <si>
    <t>【ヘッダーエリア②】</t>
    <phoneticPr fontId="2"/>
  </si>
  <si>
    <t>ファイルの２行目に必ず設定する</t>
    <rPh sb="6" eb="8">
      <t>ギョウメ</t>
    </rPh>
    <rPh sb="9" eb="10">
      <t>カナラ</t>
    </rPh>
    <rPh sb="11" eb="13">
      <t>セッテイ</t>
    </rPh>
    <phoneticPr fontId="2"/>
  </si>
  <si>
    <t>データエリアの項目名称</t>
    <rPh sb="9" eb="11">
      <t>メイショウ</t>
    </rPh>
    <phoneticPr fontId="2"/>
  </si>
  <si>
    <t>ファイルの１行目に必ず設定する</t>
    <rPh sb="6" eb="8">
      <t>ギョウメ</t>
    </rPh>
    <rPh sb="9" eb="10">
      <t>カナラ</t>
    </rPh>
    <rPh sb="11" eb="13">
      <t>セッテイ</t>
    </rPh>
    <phoneticPr fontId="2"/>
  </si>
  <si>
    <t>ヘッダエリア①の項目名称</t>
    <rPh sb="10" eb="12">
      <t>メイショウ</t>
    </rPh>
    <phoneticPr fontId="2"/>
  </si>
  <si>
    <t>－</t>
    <phoneticPr fontId="2"/>
  </si>
  <si>
    <t>－</t>
    <phoneticPr fontId="2"/>
  </si>
  <si>
    <t>"出力日時"</t>
    <rPh sb="1" eb="3">
      <t>シュツリョク</t>
    </rPh>
    <rPh sb="3" eb="5">
      <t>ニチジ</t>
    </rPh>
    <phoneticPr fontId="2"/>
  </si>
  <si>
    <t>出力日時名称</t>
    <rPh sb="0" eb="2">
      <t>シュツリョク</t>
    </rPh>
    <rPh sb="2" eb="4">
      <t>ニチジ</t>
    </rPh>
    <rPh sb="4" eb="6">
      <t>メイショウ</t>
    </rPh>
    <phoneticPr fontId="2"/>
  </si>
  <si>
    <t>出力日時</t>
    <rPh sb="0" eb="2">
      <t>シュツリョク</t>
    </rPh>
    <rPh sb="2" eb="4">
      <t>ニチジ</t>
    </rPh>
    <phoneticPr fontId="2"/>
  </si>
  <si>
    <t>"登録日時"</t>
    <phoneticPr fontId="2"/>
  </si>
  <si>
    <t>"最終更新日時"</t>
    <phoneticPr fontId="2"/>
  </si>
  <si>
    <t>CSV出力を処理した日時</t>
    <rPh sb="3" eb="5">
      <t>シュツリョク</t>
    </rPh>
    <rPh sb="6" eb="8">
      <t>ショリ</t>
    </rPh>
    <rPh sb="10" eb="12">
      <t>ニチジ</t>
    </rPh>
    <phoneticPr fontId="2"/>
  </si>
  <si>
    <t>被災状況CSV</t>
    <phoneticPr fontId="2"/>
  </si>
  <si>
    <t>"処理ユーザＩＤ"</t>
    <rPh sb="1" eb="3">
      <t>ショリ</t>
    </rPh>
    <phoneticPr fontId="2"/>
  </si>
  <si>
    <t>処理ユーザＩＤ名称</t>
    <rPh sb="0" eb="2">
      <t>ショリ</t>
    </rPh>
    <rPh sb="7" eb="9">
      <t>メイショウ</t>
    </rPh>
    <phoneticPr fontId="2"/>
  </si>
  <si>
    <t>処理ユーザＩＤ</t>
    <rPh sb="0" eb="2">
      <t>ショリ</t>
    </rPh>
    <phoneticPr fontId="2"/>
  </si>
  <si>
    <t>CSV出力を処理したユーザのユーザＩＤ</t>
    <rPh sb="3" eb="5">
      <t>シュツリョク</t>
    </rPh>
    <rPh sb="6" eb="8">
      <t>ショリ</t>
    </rPh>
    <phoneticPr fontId="2"/>
  </si>
  <si>
    <t>"報告日時"</t>
    <rPh sb="1" eb="3">
      <t>ホウコク</t>
    </rPh>
    <rPh sb="3" eb="5">
      <t>ニチジ</t>
    </rPh>
    <phoneticPr fontId="2"/>
  </si>
  <si>
    <t>"報告者氏名"</t>
    <rPh sb="1" eb="4">
      <t>ホウコクシャ</t>
    </rPh>
    <rPh sb="4" eb="6">
      <t>シメイ</t>
    </rPh>
    <phoneticPr fontId="2"/>
  </si>
  <si>
    <t>"報告者電話番号"</t>
    <rPh sb="1" eb="4">
      <t>ホウコクシャ</t>
    </rPh>
    <rPh sb="4" eb="6">
      <t>デンワ</t>
    </rPh>
    <rPh sb="6" eb="8">
      <t>バンゴウ</t>
    </rPh>
    <phoneticPr fontId="2"/>
  </si>
  <si>
    <t>"被災状況"</t>
    <phoneticPr fontId="2"/>
  </si>
  <si>
    <t>"被災状況メモ"</t>
    <rPh sb="1" eb="3">
      <t>ヒサイ</t>
    </rPh>
    <rPh sb="3" eb="5">
      <t>ジョウキョウ</t>
    </rPh>
    <phoneticPr fontId="2"/>
  </si>
  <si>
    <t>"電気"</t>
    <rPh sb="1" eb="3">
      <t>デンキ</t>
    </rPh>
    <phoneticPr fontId="2"/>
  </si>
  <si>
    <t>"ガス"</t>
    <phoneticPr fontId="2"/>
  </si>
  <si>
    <t>"水道"</t>
    <phoneticPr fontId="2"/>
  </si>
  <si>
    <t>"備考"</t>
    <phoneticPr fontId="2"/>
  </si>
  <si>
    <t>全半角</t>
  </si>
  <si>
    <t>システムに登録されている会社名</t>
    <rPh sb="12" eb="14">
      <t>カイシャ</t>
    </rPh>
    <rPh sb="14" eb="15">
      <t>メイ</t>
    </rPh>
    <phoneticPr fontId="2"/>
  </si>
  <si>
    <t>システムに登録されているビル名</t>
    <rPh sb="14" eb="15">
      <t>メイ</t>
    </rPh>
    <phoneticPr fontId="2"/>
  </si>
  <si>
    <t>報告日時</t>
    <phoneticPr fontId="2"/>
  </si>
  <si>
    <t>被災状況の報告日時</t>
    <rPh sb="0" eb="2">
      <t>ヒサイ</t>
    </rPh>
    <rPh sb="2" eb="4">
      <t>ジョウキョウ</t>
    </rPh>
    <rPh sb="5" eb="7">
      <t>ホウコク</t>
    </rPh>
    <rPh sb="7" eb="9">
      <t>ニチジ</t>
    </rPh>
    <phoneticPr fontId="2"/>
  </si>
  <si>
    <t>○</t>
  </si>
  <si>
    <t>○</t>
    <phoneticPr fontId="2"/>
  </si>
  <si>
    <t>報告者氏名</t>
    <phoneticPr fontId="2"/>
  </si>
  <si>
    <t>被災状況の報告者氏名</t>
    <phoneticPr fontId="2"/>
  </si>
  <si>
    <t>報告者電話番号</t>
    <phoneticPr fontId="2"/>
  </si>
  <si>
    <t>被災状況の報告者電話番号</t>
    <phoneticPr fontId="2"/>
  </si>
  <si>
    <t>被災状況</t>
    <phoneticPr fontId="2"/>
  </si>
  <si>
    <t>被災の状況</t>
    <rPh sb="3" eb="5">
      <t>ジョウキョウ</t>
    </rPh>
    <phoneticPr fontId="2"/>
  </si>
  <si>
    <t>被災状況メモ</t>
    <phoneticPr fontId="2"/>
  </si>
  <si>
    <t>被災状況のメモ</t>
    <rPh sb="2" eb="4">
      <t>ジョウキョウ</t>
    </rPh>
    <phoneticPr fontId="2"/>
  </si>
  <si>
    <t>最大400</t>
    <rPh sb="0" eb="2">
      <t>サイダイ</t>
    </rPh>
    <phoneticPr fontId="2"/>
  </si>
  <si>
    <t>電気</t>
    <phoneticPr fontId="2"/>
  </si>
  <si>
    <t>"被災あり"
"被災なし"
"報告なし"</t>
    <rPh sb="1" eb="3">
      <t>ヒサイ</t>
    </rPh>
    <rPh sb="8" eb="10">
      <t>ヒサイ</t>
    </rPh>
    <rPh sb="13" eb="15">
      <t>ホウコク</t>
    </rPh>
    <phoneticPr fontId="2"/>
  </si>
  <si>
    <t>ガス</t>
    <phoneticPr fontId="2"/>
  </si>
  <si>
    <t>水道</t>
    <rPh sb="0" eb="2">
      <t>スイドウ</t>
    </rPh>
    <phoneticPr fontId="2"/>
  </si>
  <si>
    <t>備考</t>
    <rPh sb="0" eb="2">
      <t>ビコウ</t>
    </rPh>
    <phoneticPr fontId="2"/>
  </si>
  <si>
    <t>－</t>
    <phoneticPr fontId="2"/>
  </si>
  <si>
    <t>－</t>
    <phoneticPr fontId="2"/>
  </si>
  <si>
    <t>【1】項目定義　4/4</t>
    <rPh sb="3" eb="5">
      <t>コウモク</t>
    </rPh>
    <rPh sb="5" eb="7">
      <t>テイギ</t>
    </rPh>
    <phoneticPr fontId="2"/>
  </si>
  <si>
    <t>【1】項目定義　3/4</t>
    <rPh sb="3" eb="5">
      <t>コウモク</t>
    </rPh>
    <rPh sb="5" eb="7">
      <t>テイギ</t>
    </rPh>
    <phoneticPr fontId="2"/>
  </si>
  <si>
    <t>【1】項目定義　2/4</t>
    <rPh sb="3" eb="5">
      <t>コウモク</t>
    </rPh>
    <rPh sb="5" eb="7">
      <t>テイギ</t>
    </rPh>
    <phoneticPr fontId="2"/>
  </si>
  <si>
    <t>【1】項目定義　1/4</t>
    <rPh sb="3" eb="5">
      <t>コウモク</t>
    </rPh>
    <rPh sb="5" eb="7">
      <t>テイギ</t>
    </rPh>
    <phoneticPr fontId="2"/>
  </si>
  <si>
    <r>
      <t>yyyy/mm/dd</t>
    </r>
    <r>
      <rPr>
        <sz val="10"/>
        <rFont val="ＭＳ Ｐゴシック"/>
        <family val="3"/>
        <charset val="128"/>
      </rPr>
      <t xml:space="preserve">
yyyy/mm/dd hh:mm</t>
    </r>
    <phoneticPr fontId="2"/>
  </si>
  <si>
    <t>最大16</t>
    <rPh sb="0" eb="2">
      <t>サイダイ</t>
    </rPh>
    <phoneticPr fontId="2"/>
  </si>
  <si>
    <t>被災状況の登録を処理した日時</t>
    <rPh sb="0" eb="2">
      <t>ヒサイ</t>
    </rPh>
    <rPh sb="2" eb="4">
      <t>ジョウキョウ</t>
    </rPh>
    <rPh sb="5" eb="7">
      <t>トウロク</t>
    </rPh>
    <rPh sb="8" eb="10">
      <t>ショリ</t>
    </rPh>
    <rPh sb="12" eb="14">
      <t>ニチジ</t>
    </rPh>
    <phoneticPr fontId="2"/>
  </si>
  <si>
    <t>被災状況を最後に更新処理した日時</t>
    <rPh sb="5" eb="7">
      <t>サイゴ</t>
    </rPh>
    <rPh sb="8" eb="10">
      <t>コウシン</t>
    </rPh>
    <rPh sb="10" eb="12">
      <t>ショリ</t>
    </rPh>
    <rPh sb="14" eb="16">
      <t>ニチジ</t>
    </rPh>
    <phoneticPr fontId="2"/>
  </si>
  <si>
    <t>被災状況</t>
    <rPh sb="0" eb="2">
      <t>ヒサイ</t>
    </rPh>
    <rPh sb="2" eb="4">
      <t>ジョウキョウ</t>
    </rPh>
    <phoneticPr fontId="2"/>
  </si>
  <si>
    <t>3</t>
    <phoneticPr fontId="2"/>
  </si>
  <si>
    <t>4</t>
    <phoneticPr fontId="2"/>
  </si>
  <si>
    <t>ビルコード</t>
    <phoneticPr fontId="2"/>
  </si>
  <si>
    <t>会社ＩＤ</t>
    <rPh sb="0" eb="2">
      <t>カイシャ</t>
    </rPh>
    <phoneticPr fontId="2"/>
  </si>
  <si>
    <t>被災状況登録</t>
    <rPh sb="0" eb="2">
      <t>ヒサイ</t>
    </rPh>
    <rPh sb="2" eb="4">
      <t>ジョウキョウ</t>
    </rPh>
    <rPh sb="4" eb="6">
      <t>トウロク</t>
    </rPh>
    <phoneticPr fontId="2"/>
  </si>
  <si>
    <t>被災状況一覧</t>
    <rPh sb="4" eb="6">
      <t>イチラン</t>
    </rPh>
    <phoneticPr fontId="2"/>
  </si>
  <si>
    <t>①規定での出力ソート順序</t>
    <rPh sb="1" eb="3">
      <t>キテイ</t>
    </rPh>
    <rPh sb="5" eb="7">
      <t>シュツリョク</t>
    </rPh>
    <rPh sb="10" eb="12">
      <t>ジュンジョ</t>
    </rPh>
    <phoneticPr fontId="2"/>
  </si>
  <si>
    <t>※１</t>
    <phoneticPr fontId="2"/>
  </si>
  <si>
    <t>※１　被災あり、被災なし、報告なしの順</t>
    <phoneticPr fontId="2"/>
  </si>
  <si>
    <t>昇順</t>
    <rPh sb="0" eb="2">
      <t>ショウジュン</t>
    </rPh>
    <phoneticPr fontId="2"/>
  </si>
  <si>
    <t>②画面指定での出力ソート順序</t>
    <rPh sb="1" eb="3">
      <t>ガメン</t>
    </rPh>
    <rPh sb="3" eb="5">
      <t>シテイ</t>
    </rPh>
    <rPh sb="7" eb="9">
      <t>シュツリョク</t>
    </rPh>
    <rPh sb="12" eb="14">
      <t>ジュンジョ</t>
    </rPh>
    <phoneticPr fontId="2"/>
  </si>
  <si>
    <t>"使用不可"
"使用可"</t>
    <phoneticPr fontId="2"/>
  </si>
  <si>
    <t>設備（通話・通信）の状態</t>
    <rPh sb="0" eb="2">
      <t>セツビ</t>
    </rPh>
    <rPh sb="10" eb="12">
      <t>ジョウタイ</t>
    </rPh>
    <phoneticPr fontId="2"/>
  </si>
  <si>
    <t>通話・通信</t>
    <phoneticPr fontId="2"/>
  </si>
  <si>
    <t>設備（水道）の状態</t>
    <rPh sb="0" eb="2">
      <t>セツビ</t>
    </rPh>
    <rPh sb="3" eb="5">
      <t>スイドウ</t>
    </rPh>
    <rPh sb="7" eb="9">
      <t>ジョウタイ</t>
    </rPh>
    <phoneticPr fontId="2"/>
  </si>
  <si>
    <t>設備（ガス）の状態</t>
    <rPh sb="0" eb="2">
      <t>セツビ</t>
    </rPh>
    <rPh sb="7" eb="9">
      <t>ジョウタイ</t>
    </rPh>
    <phoneticPr fontId="2"/>
  </si>
  <si>
    <t>設備（電気）の状態</t>
    <rPh sb="0" eb="2">
      <t>セツビ</t>
    </rPh>
    <rPh sb="3" eb="5">
      <t>デンキ</t>
    </rPh>
    <rPh sb="7" eb="9">
      <t>ジョウタイ</t>
    </rPh>
    <phoneticPr fontId="2"/>
  </si>
  <si>
    <t>"通話・通信"</t>
    <rPh sb="1" eb="3">
      <t>ツウワ</t>
    </rPh>
    <rPh sb="4" eb="6">
      <t>ツウシン</t>
    </rPh>
    <phoneticPr fontId="2"/>
  </si>
  <si>
    <t>当項目の値は被災状況CSV登録処理では無視する</t>
    <rPh sb="0" eb="1">
      <t>トウ</t>
    </rPh>
    <rPh sb="1" eb="3">
      <t>コウモク</t>
    </rPh>
    <rPh sb="4" eb="5">
      <t>アタイ</t>
    </rPh>
    <rPh sb="6" eb="8">
      <t>ヒサイ</t>
    </rPh>
    <rPh sb="8" eb="10">
      <t>ジョウキョウ</t>
    </rPh>
    <rPh sb="13" eb="15">
      <t>トウロク</t>
    </rPh>
    <rPh sb="15" eb="17">
      <t>ショリ</t>
    </rPh>
    <rPh sb="19" eb="21">
      <t>ムシ</t>
    </rPh>
    <phoneticPr fontId="2"/>
  </si>
  <si>
    <r>
      <rPr>
        <sz val="10"/>
        <rFont val="ＭＳ Ｐゴシック"/>
        <family val="3"/>
        <charset val="128"/>
      </rPr>
      <t>0000</t>
    </r>
    <phoneticPr fontId="2"/>
  </si>
  <si>
    <t>○</t>
    <phoneticPr fontId="2"/>
  </si>
  <si>
    <t>数字</t>
    <rPh sb="0" eb="2">
      <t>スウジ</t>
    </rPh>
    <phoneticPr fontId="2"/>
  </si>
  <si>
    <t>－</t>
    <phoneticPr fontId="2"/>
  </si>
  <si>
    <t>システムに登録されているビルコード</t>
    <phoneticPr fontId="2"/>
  </si>
  <si>
    <t>－</t>
    <phoneticPr fontId="2"/>
  </si>
  <si>
    <t>システムに登録されている組織名</t>
    <rPh sb="12" eb="15">
      <t>ソシキメイ</t>
    </rPh>
    <phoneticPr fontId="2"/>
  </si>
  <si>
    <t>－</t>
    <phoneticPr fontId="2"/>
  </si>
  <si>
    <t>（※１）</t>
    <phoneticPr fontId="2"/>
  </si>
  <si>
    <t>※出力には被災状況履歴は含まない。</t>
    <rPh sb="1" eb="3">
      <t>シュツリョク</t>
    </rPh>
    <rPh sb="5" eb="7">
      <t>ヒサイ</t>
    </rPh>
    <rPh sb="7" eb="9">
      <t>ジョウキョウ</t>
    </rPh>
    <rPh sb="9" eb="11">
      <t>リレキ</t>
    </rPh>
    <rPh sb="12" eb="13">
      <t>フク</t>
    </rPh>
    <phoneticPr fontId="2"/>
  </si>
  <si>
    <t>被災状況一覧のソート指定に準拠する
※１
昇順：被災あり、被災なし、報告なしの順
降順：報告なし、被災なし、被災ありの順</t>
    <rPh sb="0" eb="2">
      <t>ヒサイ</t>
    </rPh>
    <rPh sb="2" eb="4">
      <t>ジョウキョウ</t>
    </rPh>
    <rPh sb="21" eb="23">
      <t>ショウジュン</t>
    </rPh>
    <rPh sb="41" eb="43">
      <t>コウジュン</t>
    </rPh>
    <rPh sb="44" eb="46">
      <t>ホウコク</t>
    </rPh>
    <rPh sb="49" eb="51">
      <t>ヒサイ</t>
    </rPh>
    <rPh sb="54" eb="56">
      <t>ヒサイ</t>
    </rPh>
    <phoneticPr fontId="2"/>
  </si>
  <si>
    <t>最大4</t>
    <rPh sb="0" eb="2">
      <t>サイダイ</t>
    </rPh>
    <phoneticPr fontId="2"/>
  </si>
  <si>
    <t>最大400</t>
    <rPh sb="0" eb="2">
      <t>サイダイ</t>
    </rPh>
    <phoneticPr fontId="2"/>
  </si>
  <si>
    <t>被災状況登録</t>
    <rPh sb="4" eb="6">
      <t>トウロク</t>
    </rPh>
    <phoneticPr fontId="2"/>
  </si>
  <si>
    <t>"グループ名"</t>
    <rPh sb="5" eb="6">
      <t>メイ</t>
    </rPh>
    <phoneticPr fontId="2"/>
  </si>
  <si>
    <t>"会社名"</t>
    <rPh sb="1" eb="4">
      <t>カイシャメイ</t>
    </rPh>
    <phoneticPr fontId="2"/>
  </si>
  <si>
    <t>"ビルコード"</t>
    <phoneticPr fontId="2"/>
  </si>
  <si>
    <t>"ビル名"</t>
    <phoneticPr fontId="2"/>
  </si>
  <si>
    <t>"組織名"</t>
    <rPh sb="1" eb="3">
      <t>ソシキ</t>
    </rPh>
    <phoneticPr fontId="2"/>
  </si>
  <si>
    <t>グループ名</t>
    <rPh sb="4" eb="5">
      <t>メイ</t>
    </rPh>
    <phoneticPr fontId="2"/>
  </si>
  <si>
    <t>ビルコード</t>
    <phoneticPr fontId="2"/>
  </si>
  <si>
    <t>ビル名</t>
    <phoneticPr fontId="2"/>
  </si>
  <si>
    <t>組織名</t>
    <rPh sb="0" eb="3">
      <t>ソシキメイ</t>
    </rPh>
    <phoneticPr fontId="2"/>
  </si>
  <si>
    <t>最大50</t>
    <phoneticPr fontId="2"/>
  </si>
  <si>
    <t>当項目の値は被災状況CSV登録処理では無視する</t>
    <phoneticPr fontId="2"/>
  </si>
  <si>
    <t>※１：被災状況CSV登録処理では、実行時に選択した組織名と相違するグループのレコードは処理されない。</t>
    <rPh sb="3" eb="5">
      <t>ヒサイ</t>
    </rPh>
    <rPh sb="5" eb="7">
      <t>ジョウキョウ</t>
    </rPh>
    <rPh sb="10" eb="12">
      <t>トウロク</t>
    </rPh>
    <rPh sb="12" eb="14">
      <t>ショリ</t>
    </rPh>
    <rPh sb="17" eb="19">
      <t>ジッコウ</t>
    </rPh>
    <rPh sb="19" eb="20">
      <t>ジ</t>
    </rPh>
    <rPh sb="21" eb="23">
      <t>センタク</t>
    </rPh>
    <rPh sb="25" eb="27">
      <t>ソシキ</t>
    </rPh>
    <rPh sb="27" eb="28">
      <t>メイ</t>
    </rPh>
    <rPh sb="29" eb="31">
      <t>ソウイ</t>
    </rPh>
    <rPh sb="43" eb="45">
      <t>ショリ</t>
    </rPh>
    <phoneticPr fontId="2"/>
  </si>
  <si>
    <t>グループコード</t>
    <phoneticPr fontId="2"/>
  </si>
  <si>
    <t>年月日のみも許容
未記入の場合は登録日時を設定</t>
    <rPh sb="0" eb="3">
      <t>ネンガッピ</t>
    </rPh>
    <rPh sb="6" eb="8">
      <t>キョヨウ</t>
    </rPh>
    <rPh sb="9" eb="12">
      <t>ミキニュウ</t>
    </rPh>
    <rPh sb="13" eb="15">
      <t>バアイ</t>
    </rPh>
    <rPh sb="16" eb="18">
      <t>トウロク</t>
    </rPh>
    <rPh sb="18" eb="20">
      <t>ニチジ</t>
    </rPh>
    <rPh sb="21" eb="23">
      <t>セッテイ</t>
    </rPh>
    <phoneticPr fontId="2"/>
  </si>
  <si>
    <t>未記入の場合はシステム利用者の氏名を設定</t>
    <rPh sb="11" eb="14">
      <t>リヨウシャ</t>
    </rPh>
    <rPh sb="15" eb="17">
      <t>シメイ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</si>
</sst>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;\-#,##0;&quot;-&quot;"/>
    <numFmt numFmtId="177" formatCode="_ * #,##0_ ;_ * &quot;\\\-&quot;#,##0_ ;_ * \-_ ;_ @_ "/>
    <numFmt numFmtId="178" formatCode="0_ "/>
  </numFmts>
  <fonts count="19">
    <font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name val="Helv"/>
      <family val="2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176" fontId="3" fillId="0" borderId="0" applyFill="0" applyBorder="0" applyAlignment="0"/>
    <xf numFmtId="0" fontId="4" fillId="0" borderId="0">
      <alignment horizontal="lef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177" fontId="11" fillId="0" borderId="0"/>
    <xf numFmtId="0" fontId="6" fillId="0" borderId="0"/>
    <xf numFmtId="4" fontId="4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12" fillId="0" borderId="0"/>
    <xf numFmtId="0" fontId="9" fillId="0" borderId="0">
      <alignment horizontal="center"/>
    </xf>
    <xf numFmtId="0" fontId="10" fillId="0" borderId="0">
      <alignment vertical="center"/>
    </xf>
    <xf numFmtId="0" fontId="1" fillId="0" borderId="0">
      <alignment vertical="center"/>
    </xf>
  </cellStyleXfs>
  <cellXfs count="3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 applyBorder="1" applyAlignment="1">
      <alignment vertical="center"/>
    </xf>
    <xf numFmtId="49" fontId="0" fillId="2" borderId="0" xfId="0" applyNumberFormat="1" applyFill="1" applyBorder="1" applyAlignment="1">
      <alignment horizontal="right" vertical="center"/>
    </xf>
    <xf numFmtId="0" fontId="0" fillId="2" borderId="7" xfId="0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>
      <alignment vertical="center"/>
    </xf>
    <xf numFmtId="0" fontId="0" fillId="4" borderId="0" xfId="0" applyFill="1" applyBorder="1" applyAlignment="1">
      <alignment vertical="center"/>
    </xf>
    <xf numFmtId="0" fontId="0" fillId="4" borderId="0" xfId="0" applyFill="1" applyBorder="1">
      <alignment vertical="center"/>
    </xf>
    <xf numFmtId="0" fontId="0" fillId="2" borderId="13" xfId="0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Border="1" applyAlignment="1">
      <alignment vertical="top"/>
    </xf>
    <xf numFmtId="0" fontId="15" fillId="3" borderId="4" xfId="12" applyFont="1" applyFill="1" applyBorder="1" applyAlignment="1">
      <alignment horizontal="centerContinuous" vertical="center"/>
    </xf>
    <xf numFmtId="0" fontId="15" fillId="3" borderId="2" xfId="12" applyFont="1" applyFill="1" applyBorder="1" applyAlignment="1">
      <alignment horizontal="centerContinuous" vertical="center"/>
    </xf>
    <xf numFmtId="0" fontId="0" fillId="2" borderId="5" xfId="0" applyFont="1" applyFill="1" applyBorder="1" applyAlignment="1">
      <alignment vertical="top"/>
    </xf>
    <xf numFmtId="0" fontId="0" fillId="2" borderId="0" xfId="0" applyFont="1" applyFill="1" applyBorder="1" applyAlignment="1">
      <alignment vertical="center"/>
    </xf>
    <xf numFmtId="0" fontId="15" fillId="3" borderId="11" xfId="12" applyFont="1" applyFill="1" applyBorder="1" applyAlignment="1">
      <alignment horizontal="centerContinuous" vertical="center"/>
    </xf>
    <xf numFmtId="178" fontId="15" fillId="3" borderId="5" xfId="12" applyNumberFormat="1" applyFont="1" applyFill="1" applyBorder="1" applyAlignment="1">
      <alignment horizontal="centerContinuous" vertical="center"/>
    </xf>
    <xf numFmtId="0" fontId="15" fillId="3" borderId="5" xfId="12" applyFont="1" applyFill="1" applyBorder="1" applyAlignment="1">
      <alignment horizontal="centerContinuous" vertical="center"/>
    </xf>
    <xf numFmtId="178" fontId="15" fillId="3" borderId="2" xfId="12" applyNumberFormat="1" applyFont="1" applyFill="1" applyBorder="1" applyAlignment="1">
      <alignment horizontal="centerContinuous" vertical="center"/>
    </xf>
    <xf numFmtId="0" fontId="0" fillId="2" borderId="0" xfId="0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4" borderId="4" xfId="12" applyFont="1" applyFill="1" applyBorder="1" applyAlignment="1">
      <alignment horizontal="centerContinuous" vertical="center"/>
    </xf>
    <xf numFmtId="0" fontId="15" fillId="4" borderId="2" xfId="12" applyFont="1" applyFill="1" applyBorder="1" applyAlignment="1">
      <alignment horizontal="centerContinuous" vertical="center"/>
    </xf>
    <xf numFmtId="0" fontId="15" fillId="4" borderId="2" xfId="0" applyFont="1" applyFill="1" applyBorder="1" applyAlignment="1">
      <alignment horizontal="centerContinuous" vertical="center"/>
    </xf>
    <xf numFmtId="0" fontId="15" fillId="4" borderId="3" xfId="0" applyFont="1" applyFill="1" applyBorder="1" applyAlignment="1">
      <alignment horizontal="centerContinuous" vertical="center"/>
    </xf>
    <xf numFmtId="178" fontId="0" fillId="2" borderId="5" xfId="0" applyNumberFormat="1" applyFon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14" fillId="0" borderId="0" xfId="13" applyFont="1" applyBorder="1" applyAlignment="1">
      <alignment horizontal="left" vertical="top"/>
    </xf>
    <xf numFmtId="0" fontId="1" fillId="5" borderId="15" xfId="13" applyFont="1" applyFill="1" applyBorder="1" applyAlignment="1">
      <alignment horizontal="centerContinuous" vertical="top"/>
    </xf>
    <xf numFmtId="0" fontId="1" fillId="5" borderId="15" xfId="0" applyFont="1" applyFill="1" applyBorder="1" applyAlignment="1">
      <alignment horizontal="centerContinuous" vertical="top"/>
    </xf>
    <xf numFmtId="0" fontId="1" fillId="5" borderId="4" xfId="0" applyFont="1" applyFill="1" applyBorder="1" applyAlignment="1">
      <alignment horizontal="centerContinuous" vertical="top"/>
    </xf>
    <xf numFmtId="0" fontId="1" fillId="5" borderId="2" xfId="0" applyFont="1" applyFill="1" applyBorder="1" applyAlignment="1">
      <alignment horizontal="centerContinuous" vertical="top"/>
    </xf>
    <xf numFmtId="0" fontId="1" fillId="5" borderId="3" xfId="0" applyFont="1" applyFill="1" applyBorder="1" applyAlignment="1">
      <alignment horizontal="centerContinuous" vertical="top"/>
    </xf>
    <xf numFmtId="0" fontId="0" fillId="5" borderId="4" xfId="0" applyFont="1" applyFill="1" applyBorder="1" applyAlignment="1">
      <alignment horizontal="centerContinuous" vertical="top"/>
    </xf>
    <xf numFmtId="0" fontId="1" fillId="2" borderId="0" xfId="13" applyFont="1" applyFill="1" applyAlignment="1">
      <alignment vertical="top"/>
    </xf>
    <xf numFmtId="0" fontId="1" fillId="5" borderId="15" xfId="13" applyFont="1" applyFill="1" applyBorder="1" applyAlignment="1">
      <alignment horizontal="center" vertical="top"/>
    </xf>
    <xf numFmtId="0" fontId="1" fillId="2" borderId="6" xfId="13" applyFill="1" applyBorder="1" applyAlignment="1">
      <alignment vertical="top"/>
    </xf>
    <xf numFmtId="0" fontId="1" fillId="2" borderId="0" xfId="13" applyFill="1" applyAlignment="1">
      <alignment vertical="top"/>
    </xf>
    <xf numFmtId="0" fontId="1" fillId="2" borderId="7" xfId="13" applyFill="1" applyBorder="1" applyAlignment="1">
      <alignment vertical="top"/>
    </xf>
    <xf numFmtId="0" fontId="0" fillId="2" borderId="4" xfId="13" applyFont="1" applyFill="1" applyBorder="1" applyAlignment="1">
      <alignment vertical="top"/>
    </xf>
    <xf numFmtId="0" fontId="1" fillId="6" borderId="4" xfId="13" applyFont="1" applyFill="1" applyBorder="1" applyAlignment="1">
      <alignment vertical="top"/>
    </xf>
    <xf numFmtId="49" fontId="16" fillId="6" borderId="2" xfId="0" applyNumberFormat="1" applyFont="1" applyFill="1" applyBorder="1" applyAlignment="1">
      <alignment vertical="top"/>
    </xf>
    <xf numFmtId="0" fontId="1" fillId="6" borderId="2" xfId="13" applyFont="1" applyFill="1" applyBorder="1" applyAlignment="1">
      <alignment horizontal="center" vertical="top"/>
    </xf>
    <xf numFmtId="0" fontId="1" fillId="6" borderId="2" xfId="13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/>
    </xf>
    <xf numFmtId="0" fontId="1" fillId="6" borderId="2" xfId="13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1" fillId="2" borderId="0" xfId="13" applyFont="1" applyFill="1" applyBorder="1" applyAlignment="1">
      <alignment vertical="top"/>
    </xf>
    <xf numFmtId="0" fontId="1" fillId="2" borderId="16" xfId="13" applyFont="1" applyFill="1" applyBorder="1" applyAlignment="1">
      <alignment vertical="top"/>
    </xf>
    <xf numFmtId="0" fontId="1" fillId="2" borderId="17" xfId="13" applyFont="1" applyFill="1" applyBorder="1" applyAlignment="1">
      <alignment vertical="top"/>
    </xf>
    <xf numFmtId="0" fontId="0" fillId="2" borderId="11" xfId="0" applyFont="1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0" fillId="2" borderId="8" xfId="0" applyFont="1" applyFill="1" applyBorder="1" applyAlignment="1">
      <alignment vertical="top"/>
    </xf>
    <xf numFmtId="0" fontId="0" fillId="2" borderId="9" xfId="0" applyFont="1" applyFill="1" applyBorder="1" applyAlignment="1">
      <alignment vertical="top"/>
    </xf>
    <xf numFmtId="0" fontId="0" fillId="2" borderId="10" xfId="0" applyFont="1" applyFill="1" applyBorder="1" applyAlignment="1">
      <alignment vertical="top"/>
    </xf>
    <xf numFmtId="0" fontId="1" fillId="2" borderId="6" xfId="13" applyFont="1" applyFill="1" applyBorder="1" applyAlignment="1">
      <alignment vertical="top"/>
    </xf>
    <xf numFmtId="0" fontId="1" fillId="2" borderId="7" xfId="13" applyFont="1" applyFill="1" applyBorder="1" applyAlignment="1">
      <alignment vertical="top"/>
    </xf>
    <xf numFmtId="0" fontId="0" fillId="2" borderId="6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0" xfId="13" applyFont="1" applyFill="1" applyBorder="1" applyAlignment="1">
      <alignment vertical="top" wrapText="1"/>
    </xf>
    <xf numFmtId="0" fontId="1" fillId="2" borderId="0" xfId="13" applyFont="1" applyFill="1" applyBorder="1" applyAlignment="1">
      <alignment horizontal="center" vertical="top" wrapText="1"/>
    </xf>
    <xf numFmtId="0" fontId="1" fillId="4" borderId="0" xfId="13" applyFont="1" applyFill="1" applyBorder="1" applyAlignment="1">
      <alignment vertical="top" wrapText="1"/>
    </xf>
    <xf numFmtId="0" fontId="1" fillId="2" borderId="8" xfId="13" applyFont="1" applyFill="1" applyBorder="1" applyAlignment="1">
      <alignment vertical="top"/>
    </xf>
    <xf numFmtId="0" fontId="0" fillId="2" borderId="0" xfId="0" applyNumberFormat="1" applyFont="1" applyFill="1" applyBorder="1" applyAlignment="1">
      <alignment vertical="top" wrapText="1"/>
    </xf>
    <xf numFmtId="49" fontId="1" fillId="2" borderId="0" xfId="13" applyNumberFormat="1" applyFont="1" applyFill="1" applyBorder="1" applyAlignment="1">
      <alignment horizontal="center" vertical="center"/>
    </xf>
    <xf numFmtId="178" fontId="0" fillId="2" borderId="9" xfId="0" applyNumberFormat="1" applyFont="1" applyFill="1" applyBorder="1" applyAlignment="1">
      <alignment vertical="top"/>
    </xf>
    <xf numFmtId="0" fontId="1" fillId="2" borderId="10" xfId="13" applyFont="1" applyFill="1" applyBorder="1" applyAlignment="1">
      <alignment vertical="top"/>
    </xf>
    <xf numFmtId="49" fontId="16" fillId="4" borderId="5" xfId="0" applyNumberFormat="1" applyFont="1" applyFill="1" applyBorder="1" applyAlignment="1">
      <alignment vertical="top" wrapText="1"/>
    </xf>
    <xf numFmtId="49" fontId="16" fillId="4" borderId="9" xfId="0" applyNumberFormat="1" applyFont="1" applyFill="1" applyBorder="1" applyAlignment="1">
      <alignment vertical="top" wrapText="1"/>
    </xf>
    <xf numFmtId="0" fontId="1" fillId="4" borderId="0" xfId="13" applyFont="1" applyFill="1" applyBorder="1" applyAlignment="1">
      <alignment vertical="top"/>
    </xf>
    <xf numFmtId="49" fontId="16" fillId="4" borderId="0" xfId="0" applyNumberFormat="1" applyFont="1" applyFill="1" applyBorder="1" applyAlignment="1">
      <alignment vertical="top" wrapText="1"/>
    </xf>
    <xf numFmtId="0" fontId="1" fillId="2" borderId="12" xfId="13" applyFont="1" applyFill="1" applyBorder="1" applyAlignment="1">
      <alignment vertical="top"/>
    </xf>
    <xf numFmtId="0" fontId="0" fillId="2" borderId="15" xfId="13" applyFont="1" applyFill="1" applyBorder="1" applyAlignment="1">
      <alignment vertical="top"/>
    </xf>
    <xf numFmtId="49" fontId="16" fillId="0" borderId="4" xfId="0" applyNumberFormat="1" applyFont="1" applyBorder="1" applyAlignment="1">
      <alignment vertical="top"/>
    </xf>
    <xf numFmtId="0" fontId="0" fillId="2" borderId="2" xfId="13" applyFont="1" applyFill="1" applyBorder="1" applyAlignment="1">
      <alignment horizontal="center" vertical="top"/>
    </xf>
    <xf numFmtId="0" fontId="0" fillId="2" borderId="3" xfId="13" applyFont="1" applyFill="1" applyBorder="1" applyAlignment="1">
      <alignment horizontal="center" vertical="top"/>
    </xf>
    <xf numFmtId="0" fontId="0" fillId="2" borderId="2" xfId="13" applyFont="1" applyFill="1" applyBorder="1" applyAlignment="1">
      <alignment vertical="top"/>
    </xf>
    <xf numFmtId="0" fontId="0" fillId="2" borderId="3" xfId="13" applyFont="1" applyFill="1" applyBorder="1" applyAlignment="1">
      <alignment vertical="top"/>
    </xf>
    <xf numFmtId="0" fontId="0" fillId="4" borderId="4" xfId="13" applyFont="1" applyFill="1" applyBorder="1" applyAlignment="1">
      <alignment vertical="top"/>
    </xf>
    <xf numFmtId="0" fontId="0" fillId="4" borderId="2" xfId="0" applyFont="1" applyFill="1" applyBorder="1" applyAlignment="1">
      <alignment vertical="top"/>
    </xf>
    <xf numFmtId="0" fontId="0" fillId="4" borderId="3" xfId="0" applyFont="1" applyFill="1" applyBorder="1" applyAlignment="1">
      <alignment vertical="top"/>
    </xf>
    <xf numFmtId="0" fontId="17" fillId="6" borderId="2" xfId="0" applyFont="1" applyFill="1" applyBorder="1" applyAlignment="1">
      <alignment vertical="top"/>
    </xf>
    <xf numFmtId="49" fontId="1" fillId="2" borderId="9" xfId="13" applyNumberFormat="1" applyFont="1" applyFill="1" applyBorder="1" applyAlignment="1">
      <alignment horizontal="center" vertical="center"/>
    </xf>
    <xf numFmtId="0" fontId="1" fillId="2" borderId="11" xfId="13" applyFont="1" applyFill="1" applyBorder="1" applyAlignment="1">
      <alignment vertical="top"/>
    </xf>
    <xf numFmtId="0" fontId="1" fillId="4" borderId="5" xfId="13" applyFont="1" applyFill="1" applyBorder="1" applyAlignment="1">
      <alignment vertical="top"/>
    </xf>
    <xf numFmtId="49" fontId="1" fillId="2" borderId="5" xfId="13" applyNumberFormat="1" applyFont="1" applyFill="1" applyBorder="1" applyAlignment="1">
      <alignment horizontal="center" vertical="center"/>
    </xf>
    <xf numFmtId="0" fontId="0" fillId="2" borderId="8" xfId="0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1" fillId="4" borderId="9" xfId="13" applyFont="1" applyFill="1" applyBorder="1" applyAlignment="1">
      <alignment vertical="top"/>
    </xf>
    <xf numFmtId="0" fontId="1" fillId="2" borderId="5" xfId="13" applyFont="1" applyFill="1" applyBorder="1" applyAlignment="1">
      <alignment vertical="top" wrapText="1"/>
    </xf>
    <xf numFmtId="0" fontId="1" fillId="2" borderId="9" xfId="13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9" xfId="0" applyNumberFormat="1" applyFont="1" applyFill="1" applyBorder="1" applyAlignment="1">
      <alignment vertical="top" wrapText="1"/>
    </xf>
    <xf numFmtId="0" fontId="1" fillId="2" borderId="5" xfId="13" applyFont="1" applyFill="1" applyBorder="1" applyAlignment="1">
      <alignment horizontal="center" vertical="top" wrapText="1"/>
    </xf>
    <xf numFmtId="0" fontId="1" fillId="2" borderId="9" xfId="13" applyFont="1" applyFill="1" applyBorder="1" applyAlignment="1">
      <alignment horizontal="center" vertical="top" wrapText="1"/>
    </xf>
    <xf numFmtId="0" fontId="1" fillId="4" borderId="5" xfId="13" applyFont="1" applyFill="1" applyBorder="1" applyAlignment="1">
      <alignment vertical="top" wrapText="1"/>
    </xf>
    <xf numFmtId="0" fontId="1" fillId="4" borderId="9" xfId="13" applyFont="1" applyFill="1" applyBorder="1" applyAlignment="1">
      <alignment vertical="top" wrapText="1"/>
    </xf>
    <xf numFmtId="0" fontId="1" fillId="2" borderId="18" xfId="13" applyFont="1" applyFill="1" applyBorder="1" applyAlignment="1">
      <alignment vertical="top"/>
    </xf>
    <xf numFmtId="0" fontId="0" fillId="4" borderId="6" xfId="13" applyFont="1" applyFill="1" applyBorder="1" applyAlignment="1">
      <alignment vertical="top" wrapText="1"/>
    </xf>
    <xf numFmtId="0" fontId="0" fillId="2" borderId="0" xfId="13" applyFont="1" applyFill="1" applyBorder="1" applyAlignment="1">
      <alignment vertical="top"/>
    </xf>
    <xf numFmtId="49" fontId="16" fillId="4" borderId="6" xfId="0" applyNumberFormat="1" applyFont="1" applyFill="1" applyBorder="1" applyAlignment="1">
      <alignment horizontal="center" vertical="top"/>
    </xf>
    <xf numFmtId="49" fontId="16" fillId="4" borderId="0" xfId="0" applyNumberFormat="1" applyFont="1" applyFill="1" applyBorder="1" applyAlignment="1">
      <alignment horizontal="center" vertical="top"/>
    </xf>
    <xf numFmtId="49" fontId="16" fillId="4" borderId="7" xfId="0" applyNumberFormat="1" applyFont="1" applyFill="1" applyBorder="1" applyAlignment="1">
      <alignment horizontal="center" vertical="top"/>
    </xf>
    <xf numFmtId="49" fontId="16" fillId="4" borderId="8" xfId="0" applyNumberFormat="1" applyFont="1" applyFill="1" applyBorder="1" applyAlignment="1">
      <alignment horizontal="center" vertical="top"/>
    </xf>
    <xf numFmtId="49" fontId="16" fillId="4" borderId="9" xfId="0" applyNumberFormat="1" applyFont="1" applyFill="1" applyBorder="1" applyAlignment="1">
      <alignment horizontal="center" vertical="top"/>
    </xf>
    <xf numFmtId="49" fontId="16" fillId="4" borderId="10" xfId="0" applyNumberFormat="1" applyFont="1" applyFill="1" applyBorder="1" applyAlignment="1">
      <alignment horizontal="center" vertical="top"/>
    </xf>
    <xf numFmtId="0" fontId="0" fillId="4" borderId="0" xfId="13" applyFont="1" applyFill="1" applyBorder="1" applyAlignment="1">
      <alignment vertical="top" wrapText="1"/>
    </xf>
    <xf numFmtId="0" fontId="0" fillId="4" borderId="7" xfId="13" applyFont="1" applyFill="1" applyBorder="1" applyAlignment="1">
      <alignment vertical="top" wrapText="1"/>
    </xf>
    <xf numFmtId="0" fontId="0" fillId="4" borderId="8" xfId="13" applyFont="1" applyFill="1" applyBorder="1" applyAlignment="1">
      <alignment vertical="top" wrapText="1"/>
    </xf>
    <xf numFmtId="0" fontId="0" fillId="4" borderId="9" xfId="13" applyFont="1" applyFill="1" applyBorder="1" applyAlignment="1">
      <alignment vertical="top" wrapText="1"/>
    </xf>
    <xf numFmtId="0" fontId="0" fillId="4" borderId="10" xfId="13" applyFont="1" applyFill="1" applyBorder="1" applyAlignment="1">
      <alignment vertical="top" wrapText="1"/>
    </xf>
    <xf numFmtId="0" fontId="0" fillId="4" borderId="6" xfId="13" applyFont="1" applyFill="1" applyBorder="1" applyAlignment="1">
      <alignment horizontal="center" vertical="top" wrapText="1"/>
    </xf>
    <xf numFmtId="0" fontId="0" fillId="4" borderId="0" xfId="13" applyFont="1" applyFill="1" applyBorder="1" applyAlignment="1">
      <alignment horizontal="center" vertical="top" wrapText="1"/>
    </xf>
    <xf numFmtId="0" fontId="0" fillId="4" borderId="7" xfId="13" applyFont="1" applyFill="1" applyBorder="1" applyAlignment="1">
      <alignment horizontal="center" vertical="top" wrapText="1"/>
    </xf>
    <xf numFmtId="0" fontId="0" fillId="4" borderId="8" xfId="13" applyFont="1" applyFill="1" applyBorder="1" applyAlignment="1">
      <alignment horizontal="center" vertical="top" wrapText="1"/>
    </xf>
    <xf numFmtId="0" fontId="0" fillId="4" borderId="9" xfId="13" applyFont="1" applyFill="1" applyBorder="1" applyAlignment="1">
      <alignment horizontal="center" vertical="top" wrapText="1"/>
    </xf>
    <xf numFmtId="0" fontId="0" fillId="4" borderId="10" xfId="13" applyFont="1" applyFill="1" applyBorder="1" applyAlignment="1">
      <alignment horizontal="center" vertical="top" wrapText="1"/>
    </xf>
    <xf numFmtId="0" fontId="0" fillId="4" borderId="6" xfId="13" applyFont="1" applyFill="1" applyBorder="1" applyAlignment="1">
      <alignment vertical="top" wrapText="1"/>
    </xf>
    <xf numFmtId="0" fontId="0" fillId="4" borderId="0" xfId="13" applyFont="1" applyFill="1" applyBorder="1" applyAlignment="1">
      <alignment vertical="top" wrapText="1"/>
    </xf>
    <xf numFmtId="0" fontId="0" fillId="4" borderId="7" xfId="13" applyFont="1" applyFill="1" applyBorder="1" applyAlignment="1">
      <alignment vertical="top" wrapText="1"/>
    </xf>
    <xf numFmtId="0" fontId="0" fillId="2" borderId="0" xfId="0" applyFont="1" applyFill="1" applyBorder="1" applyAlignment="1">
      <alignment horizontal="right" vertical="center"/>
    </xf>
    <xf numFmtId="0" fontId="17" fillId="2" borderId="16" xfId="13" applyFont="1" applyFill="1" applyBorder="1" applyAlignment="1">
      <alignment vertical="top"/>
    </xf>
    <xf numFmtId="0" fontId="17" fillId="2" borderId="17" xfId="13" applyFont="1" applyFill="1" applyBorder="1" applyAlignment="1">
      <alignment vertical="top"/>
    </xf>
    <xf numFmtId="0" fontId="17" fillId="2" borderId="0" xfId="0" applyFont="1" applyFill="1" applyBorder="1" applyAlignment="1">
      <alignment vertical="top"/>
    </xf>
    <xf numFmtId="0" fontId="17" fillId="2" borderId="0" xfId="0" applyFont="1" applyFill="1" applyBorder="1" applyAlignment="1">
      <alignment horizontal="right" vertical="top"/>
    </xf>
    <xf numFmtId="0" fontId="14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4" xfId="12" applyFont="1" applyFill="1" applyBorder="1" applyAlignment="1">
      <alignment vertical="center" shrinkToFit="1"/>
    </xf>
    <xf numFmtId="0" fontId="15" fillId="2" borderId="2" xfId="12" applyFont="1" applyFill="1" applyBorder="1" applyAlignment="1">
      <alignment vertical="center" shrinkToFit="1"/>
    </xf>
    <xf numFmtId="0" fontId="15" fillId="2" borderId="3" xfId="12" applyFont="1" applyFill="1" applyBorder="1" applyAlignment="1">
      <alignment vertical="center" shrinkToFit="1"/>
    </xf>
    <xf numFmtId="0" fontId="15" fillId="3" borderId="4" xfId="12" applyFont="1" applyFill="1" applyBorder="1" applyAlignment="1">
      <alignment horizontal="center" vertical="center"/>
    </xf>
    <xf numFmtId="0" fontId="15" fillId="3" borderId="2" xfId="12" applyFont="1" applyFill="1" applyBorder="1" applyAlignment="1">
      <alignment horizontal="center" vertical="center"/>
    </xf>
    <xf numFmtId="0" fontId="15" fillId="3" borderId="3" xfId="12" applyFont="1" applyFill="1" applyBorder="1" applyAlignment="1">
      <alignment horizontal="center" vertical="center"/>
    </xf>
    <xf numFmtId="0" fontId="13" fillId="2" borderId="11" xfId="12" applyFont="1" applyFill="1" applyBorder="1" applyAlignment="1">
      <alignment horizontal="center" vertical="center" shrinkToFit="1"/>
    </xf>
    <xf numFmtId="0" fontId="13" fillId="2" borderId="5" xfId="12" applyFont="1" applyFill="1" applyBorder="1" applyAlignment="1">
      <alignment horizontal="center" vertical="center" shrinkToFit="1"/>
    </xf>
    <xf numFmtId="0" fontId="13" fillId="2" borderId="12" xfId="12" applyFont="1" applyFill="1" applyBorder="1" applyAlignment="1">
      <alignment horizontal="center" vertical="center" shrinkToFit="1"/>
    </xf>
    <xf numFmtId="0" fontId="13" fillId="2" borderId="8" xfId="12" applyFont="1" applyFill="1" applyBorder="1" applyAlignment="1">
      <alignment horizontal="center" vertical="center" shrinkToFit="1"/>
    </xf>
    <xf numFmtId="0" fontId="13" fillId="2" borderId="9" xfId="12" applyFont="1" applyFill="1" applyBorder="1" applyAlignment="1">
      <alignment horizontal="center" vertical="center" shrinkToFit="1"/>
    </xf>
    <xf numFmtId="0" fontId="13" fillId="2" borderId="10" xfId="12" applyFont="1" applyFill="1" applyBorder="1" applyAlignment="1">
      <alignment horizontal="center" vertical="center" shrinkToFit="1"/>
    </xf>
    <xf numFmtId="0" fontId="1" fillId="4" borderId="11" xfId="13" applyFont="1" applyFill="1" applyBorder="1" applyAlignment="1">
      <alignment vertical="top" wrapText="1"/>
    </xf>
    <xf numFmtId="0" fontId="1" fillId="4" borderId="5" xfId="13" applyFont="1" applyFill="1" applyBorder="1" applyAlignment="1">
      <alignment vertical="top" wrapText="1"/>
    </xf>
    <xf numFmtId="0" fontId="1" fillId="4" borderId="12" xfId="13" applyFont="1" applyFill="1" applyBorder="1" applyAlignment="1">
      <alignment vertical="top" wrapText="1"/>
    </xf>
    <xf numFmtId="0" fontId="1" fillId="4" borderId="8" xfId="13" applyFont="1" applyFill="1" applyBorder="1" applyAlignment="1">
      <alignment vertical="top" wrapText="1"/>
    </xf>
    <xf numFmtId="0" fontId="1" fillId="4" borderId="9" xfId="13" applyFont="1" applyFill="1" applyBorder="1" applyAlignment="1">
      <alignment vertical="top" wrapText="1"/>
    </xf>
    <xf numFmtId="0" fontId="1" fillId="4" borderId="10" xfId="13" applyFont="1" applyFill="1" applyBorder="1" applyAlignment="1">
      <alignment vertical="top" wrapText="1"/>
    </xf>
    <xf numFmtId="0" fontId="16" fillId="0" borderId="11" xfId="0" applyNumberFormat="1" applyFont="1" applyBorder="1" applyAlignment="1">
      <alignment vertical="top" wrapText="1"/>
    </xf>
    <xf numFmtId="0" fontId="16" fillId="0" borderId="5" xfId="0" applyNumberFormat="1" applyFont="1" applyBorder="1" applyAlignment="1">
      <alignment vertical="top" wrapText="1"/>
    </xf>
    <xf numFmtId="0" fontId="16" fillId="0" borderId="12" xfId="0" applyNumberFormat="1" applyFont="1" applyBorder="1" applyAlignment="1">
      <alignment vertical="top" wrapText="1"/>
    </xf>
    <xf numFmtId="0" fontId="16" fillId="0" borderId="8" xfId="0" applyNumberFormat="1" applyFont="1" applyBorder="1" applyAlignment="1">
      <alignment vertical="top" wrapText="1"/>
    </xf>
    <xf numFmtId="0" fontId="16" fillId="0" borderId="9" xfId="0" applyNumberFormat="1" applyFont="1" applyBorder="1" applyAlignment="1">
      <alignment vertical="top" wrapText="1"/>
    </xf>
    <xf numFmtId="0" fontId="16" fillId="0" borderId="10" xfId="0" applyNumberFormat="1" applyFont="1" applyBorder="1" applyAlignment="1">
      <alignment vertical="top" wrapText="1"/>
    </xf>
    <xf numFmtId="0" fontId="0" fillId="2" borderId="11" xfId="13" applyFont="1" applyFill="1" applyBorder="1" applyAlignment="1">
      <alignment vertical="top" wrapText="1"/>
    </xf>
    <xf numFmtId="0" fontId="1" fillId="2" borderId="5" xfId="13" applyFont="1" applyFill="1" applyBorder="1" applyAlignment="1">
      <alignment vertical="top" wrapText="1"/>
    </xf>
    <xf numFmtId="0" fontId="1" fillId="2" borderId="12" xfId="13" applyFont="1" applyFill="1" applyBorder="1" applyAlignment="1">
      <alignment vertical="top" wrapText="1"/>
    </xf>
    <xf numFmtId="0" fontId="1" fillId="2" borderId="8" xfId="13" applyFont="1" applyFill="1" applyBorder="1" applyAlignment="1">
      <alignment vertical="top" wrapText="1"/>
    </xf>
    <xf numFmtId="0" fontId="1" fillId="2" borderId="9" xfId="13" applyFont="1" applyFill="1" applyBorder="1" applyAlignment="1">
      <alignment vertical="top" wrapText="1"/>
    </xf>
    <xf numFmtId="0" fontId="1" fillId="2" borderId="10" xfId="13" applyFont="1" applyFill="1" applyBorder="1" applyAlignment="1">
      <alignment vertical="top" wrapText="1"/>
    </xf>
    <xf numFmtId="49" fontId="0" fillId="2" borderId="11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12" xfId="0" applyNumberFormat="1" applyFont="1" applyFill="1" applyBorder="1" applyAlignment="1">
      <alignment vertical="top" wrapText="1"/>
    </xf>
    <xf numFmtId="0" fontId="0" fillId="2" borderId="8" xfId="0" applyNumberFormat="1" applyFont="1" applyFill="1" applyBorder="1" applyAlignment="1">
      <alignment vertical="top" wrapText="1"/>
    </xf>
    <xf numFmtId="0" fontId="0" fillId="2" borderId="9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0" fillId="2" borderId="11" xfId="13" applyFont="1" applyFill="1" applyBorder="1" applyAlignment="1">
      <alignment horizontal="center" vertical="top" wrapText="1"/>
    </xf>
    <xf numFmtId="0" fontId="1" fillId="2" borderId="5" xfId="13" applyFont="1" applyFill="1" applyBorder="1" applyAlignment="1">
      <alignment horizontal="center" vertical="top" wrapText="1"/>
    </xf>
    <xf numFmtId="0" fontId="1" fillId="2" borderId="12" xfId="13" applyFont="1" applyFill="1" applyBorder="1" applyAlignment="1">
      <alignment horizontal="center" vertical="top" wrapText="1"/>
    </xf>
    <xf numFmtId="0" fontId="1" fillId="2" borderId="8" xfId="13" applyFont="1" applyFill="1" applyBorder="1" applyAlignment="1">
      <alignment horizontal="center" vertical="top" wrapText="1"/>
    </xf>
    <xf numFmtId="0" fontId="1" fillId="2" borderId="9" xfId="13" applyFont="1" applyFill="1" applyBorder="1" applyAlignment="1">
      <alignment horizontal="center" vertical="top" wrapText="1"/>
    </xf>
    <xf numFmtId="0" fontId="1" fillId="2" borderId="10" xfId="13" applyFont="1" applyFill="1" applyBorder="1" applyAlignment="1">
      <alignment horizontal="center" vertical="top" wrapText="1"/>
    </xf>
    <xf numFmtId="49" fontId="17" fillId="2" borderId="11" xfId="0" applyNumberFormat="1" applyFont="1" applyFill="1" applyBorder="1" applyAlignment="1">
      <alignment vertical="top" wrapText="1"/>
    </xf>
    <xf numFmtId="0" fontId="17" fillId="2" borderId="5" xfId="0" applyNumberFormat="1" applyFont="1" applyFill="1" applyBorder="1" applyAlignment="1">
      <alignment vertical="top" wrapText="1"/>
    </xf>
    <xf numFmtId="0" fontId="17" fillId="2" borderId="12" xfId="0" applyNumberFormat="1" applyFont="1" applyFill="1" applyBorder="1" applyAlignment="1">
      <alignment vertical="top" wrapText="1"/>
    </xf>
    <xf numFmtId="0" fontId="17" fillId="2" borderId="8" xfId="0" applyNumberFormat="1" applyFont="1" applyFill="1" applyBorder="1" applyAlignment="1">
      <alignment vertical="top" wrapText="1"/>
    </xf>
    <xf numFmtId="0" fontId="17" fillId="2" borderId="9" xfId="0" applyNumberFormat="1" applyFont="1" applyFill="1" applyBorder="1" applyAlignment="1">
      <alignment vertical="top" wrapText="1"/>
    </xf>
    <xf numFmtId="0" fontId="17" fillId="2" borderId="10" xfId="0" applyNumberFormat="1" applyFont="1" applyFill="1" applyBorder="1" applyAlignment="1">
      <alignment vertical="top" wrapText="1"/>
    </xf>
    <xf numFmtId="49" fontId="0" fillId="2" borderId="11" xfId="13" applyNumberFormat="1" applyFont="1" applyFill="1" applyBorder="1" applyAlignment="1">
      <alignment horizontal="center" vertical="center"/>
    </xf>
    <xf numFmtId="49" fontId="1" fillId="2" borderId="12" xfId="13" applyNumberFormat="1" applyFont="1" applyFill="1" applyBorder="1" applyAlignment="1">
      <alignment horizontal="center" vertical="center"/>
    </xf>
    <xf numFmtId="49" fontId="1" fillId="2" borderId="8" xfId="13" applyNumberFormat="1" applyFont="1" applyFill="1" applyBorder="1" applyAlignment="1">
      <alignment horizontal="center" vertical="center"/>
    </xf>
    <xf numFmtId="49" fontId="1" fillId="2" borderId="10" xfId="13" applyNumberFormat="1" applyFont="1" applyFill="1" applyBorder="1" applyAlignment="1">
      <alignment horizontal="center" vertical="center"/>
    </xf>
    <xf numFmtId="49" fontId="1" fillId="2" borderId="11" xfId="13" applyNumberFormat="1" applyFont="1" applyFill="1" applyBorder="1" applyAlignment="1">
      <alignment horizontal="center" vertical="center"/>
    </xf>
    <xf numFmtId="0" fontId="13" fillId="2" borderId="11" xfId="12" applyNumberFormat="1" applyFont="1" applyFill="1" applyBorder="1" applyAlignment="1">
      <alignment horizontal="center" vertical="center" shrinkToFit="1"/>
    </xf>
    <xf numFmtId="0" fontId="13" fillId="2" borderId="5" xfId="12" applyNumberFormat="1" applyFont="1" applyFill="1" applyBorder="1" applyAlignment="1">
      <alignment horizontal="center" vertical="center" shrinkToFit="1"/>
    </xf>
    <xf numFmtId="0" fontId="13" fillId="2" borderId="12" xfId="12" applyNumberFormat="1" applyFont="1" applyFill="1" applyBorder="1" applyAlignment="1">
      <alignment horizontal="center" vertical="center" shrinkToFit="1"/>
    </xf>
    <xf numFmtId="0" fontId="13" fillId="2" borderId="8" xfId="12" applyNumberFormat="1" applyFont="1" applyFill="1" applyBorder="1" applyAlignment="1">
      <alignment horizontal="center" vertical="center" shrinkToFit="1"/>
    </xf>
    <xf numFmtId="0" fontId="13" fillId="2" borderId="9" xfId="12" applyNumberFormat="1" applyFont="1" applyFill="1" applyBorder="1" applyAlignment="1">
      <alignment horizontal="center" vertical="center" shrinkToFit="1"/>
    </xf>
    <xf numFmtId="0" fontId="13" fillId="2" borderId="10" xfId="12" applyNumberFormat="1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0" fontId="15" fillId="2" borderId="12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horizontal="center" vertical="center" shrinkToFit="1"/>
    </xf>
    <xf numFmtId="0" fontId="15" fillId="2" borderId="10" xfId="0" applyFont="1" applyFill="1" applyBorder="1" applyAlignment="1">
      <alignment horizontal="center" vertical="center" shrinkToFit="1"/>
    </xf>
    <xf numFmtId="49" fontId="0" fillId="2" borderId="11" xfId="13" quotePrefix="1" applyNumberFormat="1" applyFont="1" applyFill="1" applyBorder="1" applyAlignment="1">
      <alignment horizontal="center" vertical="center"/>
    </xf>
    <xf numFmtId="49" fontId="16" fillId="0" borderId="11" xfId="0" applyNumberFormat="1" applyFont="1" applyBorder="1" applyAlignment="1">
      <alignment vertical="top" wrapText="1"/>
    </xf>
    <xf numFmtId="49" fontId="16" fillId="0" borderId="5" xfId="0" applyNumberFormat="1" applyFont="1" applyBorder="1" applyAlignment="1">
      <alignment vertical="top" wrapText="1"/>
    </xf>
    <xf numFmtId="49" fontId="16" fillId="0" borderId="12" xfId="0" applyNumberFormat="1" applyFont="1" applyBorder="1" applyAlignment="1">
      <alignment vertical="top" wrapText="1"/>
    </xf>
    <xf numFmtId="49" fontId="16" fillId="0" borderId="8" xfId="0" applyNumberFormat="1" applyFont="1" applyBorder="1" applyAlignment="1">
      <alignment vertical="top" wrapText="1"/>
    </xf>
    <xf numFmtId="49" fontId="16" fillId="0" borderId="9" xfId="0" applyNumberFormat="1" applyFont="1" applyBorder="1" applyAlignment="1">
      <alignment vertical="top" wrapText="1"/>
    </xf>
    <xf numFmtId="49" fontId="16" fillId="0" borderId="10" xfId="0" applyNumberFormat="1" applyFont="1" applyBorder="1" applyAlignment="1">
      <alignment vertical="top" wrapText="1"/>
    </xf>
    <xf numFmtId="49" fontId="0" fillId="2" borderId="11" xfId="0" quotePrefix="1" applyNumberFormat="1" applyFont="1" applyFill="1" applyBorder="1" applyAlignment="1">
      <alignment vertical="top" wrapText="1"/>
    </xf>
    <xf numFmtId="0" fontId="18" fillId="0" borderId="11" xfId="0" applyNumberFormat="1" applyFont="1" applyBorder="1" applyAlignment="1">
      <alignment vertical="top" wrapText="1"/>
    </xf>
    <xf numFmtId="0" fontId="18" fillId="0" borderId="5" xfId="0" applyNumberFormat="1" applyFont="1" applyBorder="1" applyAlignment="1">
      <alignment vertical="top" wrapText="1"/>
    </xf>
    <xf numFmtId="0" fontId="18" fillId="0" borderId="12" xfId="0" applyNumberFormat="1" applyFont="1" applyBorder="1" applyAlignment="1">
      <alignment vertical="top" wrapText="1"/>
    </xf>
    <xf numFmtId="0" fontId="18" fillId="0" borderId="8" xfId="0" applyNumberFormat="1" applyFont="1" applyBorder="1" applyAlignment="1">
      <alignment vertical="top" wrapText="1"/>
    </xf>
    <xf numFmtId="0" fontId="18" fillId="0" borderId="9" xfId="0" applyNumberFormat="1" applyFont="1" applyBorder="1" applyAlignment="1">
      <alignment vertical="top" wrapText="1"/>
    </xf>
    <xf numFmtId="0" fontId="18" fillId="0" borderId="10" xfId="0" applyNumberFormat="1" applyFont="1" applyBorder="1" applyAlignment="1">
      <alignment vertical="top" wrapText="1"/>
    </xf>
    <xf numFmtId="0" fontId="17" fillId="2" borderId="11" xfId="13" applyFont="1" applyFill="1" applyBorder="1" applyAlignment="1">
      <alignment vertical="top" wrapText="1"/>
    </xf>
    <xf numFmtId="0" fontId="17" fillId="2" borderId="5" xfId="13" applyFont="1" applyFill="1" applyBorder="1" applyAlignment="1">
      <alignment vertical="top" wrapText="1"/>
    </xf>
    <xf numFmtId="0" fontId="17" fillId="2" borderId="12" xfId="13" applyFont="1" applyFill="1" applyBorder="1" applyAlignment="1">
      <alignment vertical="top" wrapText="1"/>
    </xf>
    <xf numFmtId="0" fontId="17" fillId="2" borderId="8" xfId="13" applyFont="1" applyFill="1" applyBorder="1" applyAlignment="1">
      <alignment vertical="top" wrapText="1"/>
    </xf>
    <xf numFmtId="0" fontId="17" fillId="2" borderId="9" xfId="13" applyFont="1" applyFill="1" applyBorder="1" applyAlignment="1">
      <alignment vertical="top" wrapText="1"/>
    </xf>
    <xf numFmtId="0" fontId="17" fillId="2" borderId="10" xfId="13" applyFont="1" applyFill="1" applyBorder="1" applyAlignment="1">
      <alignment vertical="top" wrapText="1"/>
    </xf>
    <xf numFmtId="49" fontId="17" fillId="2" borderId="11" xfId="13" applyNumberFormat="1" applyFont="1" applyFill="1" applyBorder="1" applyAlignment="1">
      <alignment horizontal="center" vertical="center"/>
    </xf>
    <xf numFmtId="49" fontId="17" fillId="2" borderId="12" xfId="13" applyNumberFormat="1" applyFont="1" applyFill="1" applyBorder="1" applyAlignment="1">
      <alignment horizontal="center" vertical="center"/>
    </xf>
    <xf numFmtId="49" fontId="17" fillId="2" borderId="8" xfId="13" applyNumberFormat="1" applyFont="1" applyFill="1" applyBorder="1" applyAlignment="1">
      <alignment horizontal="center" vertical="center"/>
    </xf>
    <xf numFmtId="49" fontId="17" fillId="2" borderId="10" xfId="13" applyNumberFormat="1" applyFont="1" applyFill="1" applyBorder="1" applyAlignment="1">
      <alignment horizontal="center" vertical="center"/>
    </xf>
    <xf numFmtId="0" fontId="17" fillId="2" borderId="11" xfId="13" applyFont="1" applyFill="1" applyBorder="1" applyAlignment="1">
      <alignment horizontal="center" vertical="top" wrapText="1"/>
    </xf>
    <xf numFmtId="0" fontId="17" fillId="2" borderId="5" xfId="13" applyFont="1" applyFill="1" applyBorder="1" applyAlignment="1">
      <alignment horizontal="center" vertical="top" wrapText="1"/>
    </xf>
    <xf numFmtId="0" fontId="17" fillId="2" borderId="12" xfId="13" applyFont="1" applyFill="1" applyBorder="1" applyAlignment="1">
      <alignment horizontal="center" vertical="top" wrapText="1"/>
    </xf>
    <xf numFmtId="0" fontId="17" fillId="2" borderId="8" xfId="13" applyFont="1" applyFill="1" applyBorder="1" applyAlignment="1">
      <alignment horizontal="center" vertical="top" wrapText="1"/>
    </xf>
    <xf numFmtId="0" fontId="17" fillId="2" borderId="9" xfId="13" applyFont="1" applyFill="1" applyBorder="1" applyAlignment="1">
      <alignment horizontal="center" vertical="top" wrapText="1"/>
    </xf>
    <xf numFmtId="0" fontId="17" fillId="2" borderId="10" xfId="13" applyFont="1" applyFill="1" applyBorder="1" applyAlignment="1">
      <alignment horizontal="center" vertical="top" wrapText="1"/>
    </xf>
    <xf numFmtId="0" fontId="17" fillId="4" borderId="11" xfId="13" applyFont="1" applyFill="1" applyBorder="1" applyAlignment="1">
      <alignment vertical="top" wrapText="1"/>
    </xf>
    <xf numFmtId="0" fontId="17" fillId="4" borderId="5" xfId="13" applyFont="1" applyFill="1" applyBorder="1" applyAlignment="1">
      <alignment vertical="top" wrapText="1"/>
    </xf>
    <xf numFmtId="0" fontId="17" fillId="4" borderId="12" xfId="13" applyFont="1" applyFill="1" applyBorder="1" applyAlignment="1">
      <alignment vertical="top" wrapText="1"/>
    </xf>
    <xf numFmtId="0" fontId="17" fillId="4" borderId="8" xfId="13" applyFont="1" applyFill="1" applyBorder="1" applyAlignment="1">
      <alignment vertical="top" wrapText="1"/>
    </xf>
    <xf numFmtId="0" fontId="17" fillId="4" borderId="9" xfId="13" applyFont="1" applyFill="1" applyBorder="1" applyAlignment="1">
      <alignment vertical="top" wrapText="1"/>
    </xf>
    <xf numFmtId="0" fontId="17" fillId="4" borderId="10" xfId="13" applyFont="1" applyFill="1" applyBorder="1" applyAlignment="1">
      <alignment vertical="top" wrapText="1"/>
    </xf>
    <xf numFmtId="0" fontId="15" fillId="4" borderId="4" xfId="12" applyFont="1" applyFill="1" applyBorder="1" applyAlignment="1">
      <alignment horizontal="center" vertical="center"/>
    </xf>
    <xf numFmtId="0" fontId="15" fillId="4" borderId="2" xfId="12" applyFont="1" applyFill="1" applyBorder="1" applyAlignment="1">
      <alignment horizontal="center" vertical="center"/>
    </xf>
    <xf numFmtId="0" fontId="15" fillId="4" borderId="3" xfId="12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49" fontId="1" fillId="2" borderId="12" xfId="0" applyNumberFormat="1" applyFont="1" applyFill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0" fontId="1" fillId="2" borderId="11" xfId="13" applyFont="1" applyFill="1" applyBorder="1" applyAlignment="1">
      <alignment horizontal="center" vertical="top" wrapText="1"/>
    </xf>
    <xf numFmtId="49" fontId="18" fillId="0" borderId="11" xfId="0" applyNumberFormat="1" applyFont="1" applyBorder="1" applyAlignment="1">
      <alignment vertical="top" wrapText="1"/>
    </xf>
    <xf numFmtId="49" fontId="18" fillId="0" borderId="5" xfId="0" applyNumberFormat="1" applyFont="1" applyBorder="1" applyAlignment="1">
      <alignment vertical="top" wrapText="1"/>
    </xf>
    <xf numFmtId="49" fontId="18" fillId="0" borderId="12" xfId="0" applyNumberFormat="1" applyFont="1" applyBorder="1" applyAlignment="1">
      <alignment vertical="top" wrapText="1"/>
    </xf>
    <xf numFmtId="49" fontId="18" fillId="0" borderId="8" xfId="0" applyNumberFormat="1" applyFont="1" applyBorder="1" applyAlignment="1">
      <alignment vertical="top" wrapText="1"/>
    </xf>
    <xf numFmtId="49" fontId="18" fillId="0" borderId="9" xfId="0" applyNumberFormat="1" applyFont="1" applyBorder="1" applyAlignment="1">
      <alignment vertical="top" wrapText="1"/>
    </xf>
    <xf numFmtId="49" fontId="18" fillId="0" borderId="10" xfId="0" applyNumberFormat="1" applyFont="1" applyBorder="1" applyAlignment="1">
      <alignment vertical="top" wrapText="1"/>
    </xf>
    <xf numFmtId="49" fontId="0" fillId="2" borderId="11" xfId="0" quotePrefix="1" applyNumberFormat="1" applyFont="1" applyFill="1" applyBorder="1" applyAlignment="1">
      <alignment vertical="top"/>
    </xf>
    <xf numFmtId="0" fontId="0" fillId="4" borderId="11" xfId="13" applyFont="1" applyFill="1" applyBorder="1" applyAlignment="1">
      <alignment vertical="top" wrapText="1"/>
    </xf>
    <xf numFmtId="49" fontId="16" fillId="0" borderId="6" xfId="0" applyNumberFormat="1" applyFont="1" applyBorder="1" applyAlignment="1">
      <alignment vertical="top" wrapText="1"/>
    </xf>
    <xf numFmtId="49" fontId="16" fillId="0" borderId="0" xfId="0" applyNumberFormat="1" applyFont="1" applyBorder="1" applyAlignment="1">
      <alignment vertical="top" wrapText="1"/>
    </xf>
    <xf numFmtId="49" fontId="16" fillId="0" borderId="7" xfId="0" applyNumberFormat="1" applyFont="1" applyBorder="1" applyAlignment="1">
      <alignment vertical="top" wrapText="1"/>
    </xf>
    <xf numFmtId="0" fontId="0" fillId="2" borderId="6" xfId="13" applyFont="1" applyFill="1" applyBorder="1" applyAlignment="1">
      <alignment vertical="top" wrapText="1"/>
    </xf>
    <xf numFmtId="0" fontId="1" fillId="2" borderId="0" xfId="13" applyFont="1" applyFill="1" applyBorder="1" applyAlignment="1">
      <alignment vertical="top" wrapText="1"/>
    </xf>
    <xf numFmtId="0" fontId="1" fillId="2" borderId="7" xfId="13" applyFont="1" applyFill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49" fontId="1" fillId="2" borderId="12" xfId="0" applyNumberFormat="1" applyFont="1" applyFill="1" applyBorder="1" applyAlignment="1">
      <alignment vertical="top" wrapText="1"/>
    </xf>
    <xf numFmtId="49" fontId="0" fillId="2" borderId="6" xfId="0" quotePrefix="1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7" xfId="0" applyNumberFormat="1" applyFont="1" applyFill="1" applyBorder="1" applyAlignment="1">
      <alignment vertical="top" wrapText="1"/>
    </xf>
    <xf numFmtId="49" fontId="1" fillId="2" borderId="8" xfId="0" applyNumberFormat="1" applyFont="1" applyFill="1" applyBorder="1" applyAlignment="1">
      <alignment vertical="top" wrapText="1"/>
    </xf>
    <xf numFmtId="49" fontId="1" fillId="2" borderId="9" xfId="0" applyNumberFormat="1" applyFont="1" applyFill="1" applyBorder="1" applyAlignment="1">
      <alignment vertical="top" wrapText="1"/>
    </xf>
    <xf numFmtId="49" fontId="1" fillId="2" borderId="10" xfId="0" applyNumberFormat="1" applyFont="1" applyFill="1" applyBorder="1" applyAlignment="1">
      <alignment vertical="top" wrapText="1"/>
    </xf>
    <xf numFmtId="49" fontId="0" fillId="2" borderId="6" xfId="13" quotePrefix="1" applyNumberFormat="1" applyFont="1" applyFill="1" applyBorder="1" applyAlignment="1">
      <alignment horizontal="center" vertical="center"/>
    </xf>
    <xf numFmtId="49" fontId="1" fillId="2" borderId="7" xfId="13" applyNumberFormat="1" applyFont="1" applyFill="1" applyBorder="1" applyAlignment="1">
      <alignment horizontal="center" vertical="center"/>
    </xf>
    <xf numFmtId="0" fontId="0" fillId="2" borderId="6" xfId="13" applyFont="1" applyFill="1" applyBorder="1" applyAlignment="1">
      <alignment horizontal="center" vertical="top" wrapText="1"/>
    </xf>
    <xf numFmtId="0" fontId="1" fillId="2" borderId="0" xfId="13" applyFont="1" applyFill="1" applyBorder="1" applyAlignment="1">
      <alignment horizontal="center" vertical="top" wrapText="1"/>
    </xf>
    <xf numFmtId="0" fontId="1" fillId="2" borderId="7" xfId="13" applyFont="1" applyFill="1" applyBorder="1" applyAlignment="1">
      <alignment horizontal="center" vertical="top" wrapText="1"/>
    </xf>
    <xf numFmtId="0" fontId="0" fillId="4" borderId="6" xfId="13" applyFont="1" applyFill="1" applyBorder="1" applyAlignment="1">
      <alignment vertical="top" wrapText="1"/>
    </xf>
    <xf numFmtId="0" fontId="1" fillId="4" borderId="0" xfId="13" applyFont="1" applyFill="1" applyBorder="1" applyAlignment="1">
      <alignment vertical="top" wrapText="1"/>
    </xf>
    <xf numFmtId="0" fontId="1" fillId="4" borderId="7" xfId="13" applyFont="1" applyFill="1" applyBorder="1" applyAlignment="1">
      <alignment vertical="top" wrapText="1"/>
    </xf>
    <xf numFmtId="0" fontId="0" fillId="4" borderId="5" xfId="13" applyFont="1" applyFill="1" applyBorder="1" applyAlignment="1">
      <alignment vertical="top" wrapText="1"/>
    </xf>
    <xf numFmtId="0" fontId="0" fillId="4" borderId="12" xfId="13" applyFont="1" applyFill="1" applyBorder="1" applyAlignment="1">
      <alignment vertical="top" wrapText="1"/>
    </xf>
    <xf numFmtId="0" fontId="0" fillId="4" borderId="0" xfId="13" applyFont="1" applyFill="1" applyBorder="1" applyAlignment="1">
      <alignment vertical="top" wrapText="1"/>
    </xf>
    <xf numFmtId="0" fontId="0" fillId="4" borderId="7" xfId="13" applyFont="1" applyFill="1" applyBorder="1" applyAlignment="1">
      <alignment vertical="top" wrapText="1"/>
    </xf>
    <xf numFmtId="0" fontId="0" fillId="4" borderId="8" xfId="13" applyFont="1" applyFill="1" applyBorder="1" applyAlignment="1">
      <alignment vertical="top" wrapText="1"/>
    </xf>
    <xf numFmtId="0" fontId="0" fillId="4" borderId="9" xfId="13" applyFont="1" applyFill="1" applyBorder="1" applyAlignment="1">
      <alignment vertical="top" wrapText="1"/>
    </xf>
    <xf numFmtId="0" fontId="0" fillId="4" borderId="10" xfId="13" applyFont="1" applyFill="1" applyBorder="1" applyAlignment="1">
      <alignment vertical="top" wrapText="1"/>
    </xf>
    <xf numFmtId="49" fontId="16" fillId="0" borderId="4" xfId="0" applyNumberFormat="1" applyFont="1" applyBorder="1" applyAlignment="1">
      <alignment horizontal="center" vertical="top"/>
    </xf>
    <xf numFmtId="49" fontId="16" fillId="0" borderId="2" xfId="0" applyNumberFormat="1" applyFont="1" applyBorder="1" applyAlignment="1">
      <alignment horizontal="center" vertical="top"/>
    </xf>
    <xf numFmtId="49" fontId="16" fillId="0" borderId="3" xfId="0" applyNumberFormat="1" applyFont="1" applyBorder="1" applyAlignment="1">
      <alignment horizontal="center" vertical="top"/>
    </xf>
    <xf numFmtId="0" fontId="0" fillId="2" borderId="4" xfId="13" applyFont="1" applyFill="1" applyBorder="1" applyAlignment="1">
      <alignment vertical="top" wrapText="1"/>
    </xf>
    <xf numFmtId="0" fontId="0" fillId="2" borderId="2" xfId="13" applyFont="1" applyFill="1" applyBorder="1" applyAlignment="1">
      <alignment vertical="top" wrapText="1"/>
    </xf>
    <xf numFmtId="0" fontId="0" fillId="2" borderId="3" xfId="13" applyFont="1" applyFill="1" applyBorder="1" applyAlignment="1">
      <alignment vertical="top" wrapText="1"/>
    </xf>
    <xf numFmtId="0" fontId="0" fillId="4" borderId="4" xfId="13" applyFont="1" applyFill="1" applyBorder="1" applyAlignment="1">
      <alignment horizontal="center" vertical="top" wrapText="1"/>
    </xf>
    <xf numFmtId="0" fontId="0" fillId="4" borderId="2" xfId="13" applyFont="1" applyFill="1" applyBorder="1" applyAlignment="1">
      <alignment horizontal="center" vertical="top" wrapText="1"/>
    </xf>
    <xf numFmtId="0" fontId="0" fillId="4" borderId="3" xfId="13" applyFont="1" applyFill="1" applyBorder="1" applyAlignment="1">
      <alignment horizontal="center" vertical="top" wrapText="1"/>
    </xf>
    <xf numFmtId="49" fontId="16" fillId="4" borderId="11" xfId="0" applyNumberFormat="1" applyFont="1" applyFill="1" applyBorder="1" applyAlignment="1">
      <alignment horizontal="center" vertical="top"/>
    </xf>
    <xf numFmtId="49" fontId="16" fillId="4" borderId="5" xfId="0" applyNumberFormat="1" applyFont="1" applyFill="1" applyBorder="1" applyAlignment="1">
      <alignment horizontal="center" vertical="top"/>
    </xf>
    <xf numFmtId="49" fontId="16" fillId="4" borderId="12" xfId="0" applyNumberFormat="1" applyFont="1" applyFill="1" applyBorder="1" applyAlignment="1">
      <alignment horizontal="center" vertical="top"/>
    </xf>
    <xf numFmtId="0" fontId="0" fillId="4" borderId="11" xfId="13" applyFont="1" applyFill="1" applyBorder="1" applyAlignment="1">
      <alignment horizontal="center" vertical="top" wrapText="1"/>
    </xf>
    <xf numFmtId="0" fontId="0" fillId="4" borderId="5" xfId="13" applyFont="1" applyFill="1" applyBorder="1" applyAlignment="1">
      <alignment horizontal="center" vertical="top" wrapText="1"/>
    </xf>
    <xf numFmtId="0" fontId="0" fillId="4" borderId="12" xfId="13" applyFont="1" applyFill="1" applyBorder="1" applyAlignment="1">
      <alignment horizontal="center" vertical="top" wrapText="1"/>
    </xf>
    <xf numFmtId="0" fontId="17" fillId="2" borderId="4" xfId="13" applyFont="1" applyFill="1" applyBorder="1" applyAlignment="1">
      <alignment vertical="top" wrapText="1"/>
    </xf>
    <xf numFmtId="0" fontId="17" fillId="2" borderId="2" xfId="13" applyFont="1" applyFill="1" applyBorder="1" applyAlignment="1">
      <alignment vertical="top" wrapText="1"/>
    </xf>
    <xf numFmtId="0" fontId="17" fillId="2" borderId="3" xfId="13" applyFont="1" applyFill="1" applyBorder="1" applyAlignment="1">
      <alignment vertical="top" wrapText="1"/>
    </xf>
  </cellXfs>
  <cellStyles count="14">
    <cellStyle name="Calc Currency (0)" xfId="1"/>
    <cellStyle name="entry" xfId="2"/>
    <cellStyle name="Header1" xfId="3"/>
    <cellStyle name="Header2" xfId="4"/>
    <cellStyle name="Normal - Style1" xfId="5"/>
    <cellStyle name="Normal_#18-Internet" xfId="6"/>
    <cellStyle name="price" xfId="7"/>
    <cellStyle name="revised" xfId="8"/>
    <cellStyle name="section" xfId="9"/>
    <cellStyle name="subhead" xfId="10"/>
    <cellStyle name="title" xfId="11"/>
    <cellStyle name="標準" xfId="0" builtinId="0"/>
    <cellStyle name="標準 3 2" xfId="13"/>
    <cellStyle name="標準_変更履歴" xfId="1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ysClr val="windowText" lastClr="000000"/>
          </a:solidFill>
        </a:ln>
      </a:spPr>
      <a:bodyPr vertOverflow="clip" horzOverflow="clip" rtlCol="0" anchor="t"/>
      <a:lstStyle>
        <a:defPPr algn="l">
          <a:defRPr kumimoji="1" sz="10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57"/>
  <sheetViews>
    <sheetView view="pageBreakPreview" zoomScaleNormal="100" zoomScaleSheetLayoutView="100" workbookViewId="0">
      <selection activeCell="AE3" sqref="AE3"/>
    </sheetView>
  </sheetViews>
  <sheetFormatPr defaultColWidth="3.6640625" defaultRowHeight="13.5" customHeight="1"/>
  <cols>
    <col min="1" max="26" width="3.6640625" style="1"/>
    <col min="27" max="27" width="3.5546875" style="1" bestFit="1" customWidth="1"/>
    <col min="28" max="28" width="19.44140625" style="1" customWidth="1"/>
    <col min="29" max="29" width="3.5546875" style="1" bestFit="1" customWidth="1"/>
    <col min="30" max="30" width="19.44140625" style="1" customWidth="1"/>
    <col min="31" max="31" width="3.5546875" style="1" bestFit="1" customWidth="1"/>
    <col min="32" max="32" width="19.44140625" style="1" customWidth="1"/>
    <col min="33" max="16384" width="3.6640625" style="1"/>
  </cols>
  <sheetData>
    <row r="1" spans="1:32" ht="13.5" customHeight="1">
      <c r="A1" s="24" t="s">
        <v>5</v>
      </c>
      <c r="B1" s="25"/>
      <c r="C1" s="25"/>
      <c r="D1" s="148" t="s">
        <v>23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50"/>
      <c r="AA1" s="146" t="s">
        <v>9</v>
      </c>
      <c r="AB1" s="147"/>
      <c r="AC1" s="146" t="s">
        <v>10</v>
      </c>
      <c r="AD1" s="147"/>
      <c r="AE1" s="146" t="s">
        <v>11</v>
      </c>
      <c r="AF1" s="147"/>
    </row>
    <row r="2" spans="1:32" ht="13.5" customHeight="1">
      <c r="A2" s="24" t="s">
        <v>0</v>
      </c>
      <c r="B2" s="25"/>
      <c r="C2" s="25"/>
      <c r="D2" s="148" t="str">
        <f>"第"&amp;DBCS($AA$3)&amp;"章　"&amp;AB3</f>
        <v>第５章　ファイル設計</v>
      </c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50"/>
      <c r="AA2" s="17" t="s">
        <v>13</v>
      </c>
      <c r="AB2" s="18" t="s">
        <v>15</v>
      </c>
      <c r="AC2" s="17" t="s">
        <v>13</v>
      </c>
      <c r="AD2" s="18" t="s">
        <v>16</v>
      </c>
      <c r="AE2" s="17" t="s">
        <v>13</v>
      </c>
      <c r="AF2" s="18" t="s">
        <v>14</v>
      </c>
    </row>
    <row r="3" spans="1:32" ht="13.5" customHeight="1">
      <c r="A3" s="151" t="s">
        <v>1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/>
      <c r="AA3" s="16">
        <v>5</v>
      </c>
      <c r="AB3" s="21" t="s">
        <v>24</v>
      </c>
      <c r="AC3" s="16">
        <v>2</v>
      </c>
      <c r="AD3" s="21" t="s">
        <v>25</v>
      </c>
      <c r="AE3" s="16">
        <v>1</v>
      </c>
      <c r="AF3" s="21" t="s">
        <v>151</v>
      </c>
    </row>
    <row r="4" spans="1:32" ht="13.5" customHeight="1">
      <c r="A4" s="154" t="str">
        <f>IF($AA$3="","",DBCS($AA$3))&amp;IF($AC$3="","",DBCS("."&amp;$AC$3))&amp;IF($AE$3="","",DBCS("."&amp;$AE$3))&amp;DBCS(" ")&amp;$AF$3</f>
        <v>５．２．１　被災状況登録</v>
      </c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6"/>
    </row>
    <row r="5" spans="1:32" ht="13.5" customHeight="1">
      <c r="A5" s="157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9"/>
    </row>
    <row r="6" spans="1:32" ht="13.5" customHeight="1">
      <c r="A6" s="4"/>
      <c r="B6" s="9"/>
      <c r="C6" s="9"/>
      <c r="D6" s="9"/>
      <c r="E6" s="9"/>
      <c r="F6" s="9"/>
      <c r="G6" s="9"/>
      <c r="H6" s="9"/>
      <c r="I6" s="2"/>
      <c r="J6" s="2"/>
      <c r="K6" s="2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9"/>
      <c r="AA6" s="146" t="s">
        <v>12</v>
      </c>
      <c r="AB6" s="147"/>
      <c r="AC6" s="9"/>
      <c r="AD6" s="9"/>
      <c r="AE6" s="9"/>
      <c r="AF6" s="9"/>
    </row>
    <row r="7" spans="1:32" ht="13.5" customHeight="1">
      <c r="A7" s="4"/>
      <c r="B7" s="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9"/>
      <c r="AA7" s="17" t="s">
        <v>13</v>
      </c>
      <c r="AB7" s="18" t="s">
        <v>26</v>
      </c>
      <c r="AC7" s="9"/>
      <c r="AD7" s="9"/>
      <c r="AE7" s="9"/>
      <c r="AF7" s="9"/>
    </row>
    <row r="8" spans="1:32" ht="13.5" customHeight="1">
      <c r="A8" s="4"/>
      <c r="B8" s="9"/>
      <c r="C8" s="2"/>
      <c r="D8" s="13" t="str">
        <f>IF($AA8="","",IF($AA$3="","",DBCS($AA$3))&amp;IF($AC$3="","",DBCS("."&amp;$AC$3))&amp;IF($AE$3="","",DBCS("."&amp;$AE$3))&amp;IF($AA8="","",DBCS("."&amp;$AA8))&amp;DBCS(" ")&amp;$AB8)</f>
        <v>５．２．１．１　被災状況CSV</v>
      </c>
      <c r="E8" s="2"/>
      <c r="F8" s="13"/>
      <c r="G8" s="2"/>
      <c r="H8" s="2"/>
      <c r="I8" s="2"/>
      <c r="J8" s="2"/>
      <c r="K8" s="2"/>
      <c r="L8" s="2"/>
      <c r="M8" s="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1"/>
      <c r="Z8" s="9"/>
      <c r="AA8" s="16">
        <v>1</v>
      </c>
      <c r="AB8" s="21" t="s">
        <v>73</v>
      </c>
      <c r="AC8" s="9"/>
      <c r="AD8" s="9"/>
      <c r="AE8" s="9"/>
      <c r="AF8" s="9"/>
    </row>
    <row r="9" spans="1:32" ht="13.5" customHeight="1">
      <c r="A9" s="4"/>
      <c r="B9" s="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9"/>
      <c r="AA9" s="19"/>
      <c r="AB9" s="20"/>
      <c r="AC9" s="9"/>
      <c r="AD9" s="9"/>
      <c r="AE9" s="9"/>
      <c r="AF9" s="9"/>
    </row>
    <row r="10" spans="1:32" ht="13.5" customHeight="1">
      <c r="A10" s="4"/>
      <c r="B10" s="9"/>
      <c r="C10" s="2"/>
      <c r="D10" s="13" t="str">
        <f>IF($AA10="","",IF($AA$3="","",DBCS($AA$3))&amp;IF($AC$3="","",DBCS("."&amp;$AC$3))&amp;IF($AE$3="","",DBCS("."&amp;$AE$3))&amp;IF($AA10="","",DBCS("."&amp;$AA10))&amp;DBCS(" ")&amp;$AB10)</f>
        <v/>
      </c>
      <c r="E10" s="2"/>
      <c r="F10" s="9"/>
      <c r="G10" s="9"/>
      <c r="H10" s="9"/>
      <c r="I10" s="2"/>
      <c r="J10" s="2"/>
      <c r="K10" s="2"/>
      <c r="L10" s="2"/>
      <c r="M10" s="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1"/>
      <c r="Z10" s="9"/>
      <c r="AA10" s="16"/>
      <c r="AB10" s="21"/>
      <c r="AC10" s="9"/>
      <c r="AD10" s="9"/>
      <c r="AE10" s="9"/>
      <c r="AF10" s="9"/>
    </row>
    <row r="11" spans="1:32" ht="13.5" customHeight="1">
      <c r="A11" s="4"/>
      <c r="B11" s="9"/>
      <c r="C11" s="10"/>
      <c r="D11" s="2"/>
      <c r="E11" s="2"/>
      <c r="F11" s="9"/>
      <c r="G11" s="9"/>
      <c r="H11" s="9"/>
      <c r="I11" s="2"/>
      <c r="J11" s="2"/>
      <c r="K11" s="2"/>
      <c r="L11" s="9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1"/>
      <c r="Z11" s="9"/>
      <c r="AA11" s="19"/>
      <c r="AB11" s="20"/>
      <c r="AC11" s="9"/>
      <c r="AD11" s="9"/>
      <c r="AE11" s="9"/>
      <c r="AF11" s="9"/>
    </row>
    <row r="12" spans="1:32" ht="13.5" customHeight="1">
      <c r="A12" s="4"/>
      <c r="B12" s="9"/>
      <c r="C12" s="9"/>
      <c r="D12" s="13" t="str">
        <f t="shared" ref="D12" si="0">IF($AA12="","",IF($AA$3="","",DBCS($AA$3))&amp;IF($AC$3="","",DBCS("."&amp;$AC$3))&amp;IF($AE$3="","",DBCS("."&amp;$AE$3))&amp;IF($AA12="","",DBCS("."&amp;$AA12))&amp;DBCS(" ")&amp;$AB12)</f>
        <v/>
      </c>
      <c r="E12" s="2"/>
      <c r="F12" s="9"/>
      <c r="G12" s="9"/>
      <c r="H12" s="9"/>
      <c r="I12" s="2"/>
      <c r="J12" s="2"/>
      <c r="K12" s="2"/>
      <c r="L12" s="9"/>
      <c r="M12" s="9"/>
      <c r="N12" s="9"/>
      <c r="O12" s="9"/>
      <c r="P12" s="32"/>
      <c r="Q12" s="9"/>
      <c r="R12" s="9"/>
      <c r="S12" s="9"/>
      <c r="T12" s="9"/>
      <c r="U12" s="9"/>
      <c r="V12" s="9"/>
      <c r="W12" s="9"/>
      <c r="X12" s="9"/>
      <c r="Y12" s="11"/>
      <c r="Z12" s="9"/>
      <c r="AA12" s="16"/>
      <c r="AB12" s="21"/>
      <c r="AC12" s="9"/>
      <c r="AD12" s="9"/>
      <c r="AE12" s="9"/>
      <c r="AF12" s="9"/>
    </row>
    <row r="13" spans="1:32" ht="13.5" customHeight="1">
      <c r="A13" s="4"/>
      <c r="B13" s="9"/>
      <c r="C13" s="10"/>
      <c r="D13" s="2"/>
      <c r="I13" s="2"/>
      <c r="J13" s="2"/>
      <c r="K13" s="2"/>
      <c r="L13" s="9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  <c r="Z13" s="9"/>
      <c r="AA13" s="19"/>
      <c r="AB13" s="20"/>
      <c r="AC13" s="9"/>
      <c r="AD13" s="9"/>
      <c r="AE13" s="9"/>
      <c r="AF13" s="9"/>
    </row>
    <row r="14" spans="1:32" ht="13.5" customHeight="1">
      <c r="A14" s="4"/>
      <c r="B14" s="9"/>
      <c r="C14" s="9"/>
      <c r="D14" s="13" t="str">
        <f t="shared" ref="D14" si="1">IF($AA14="","",IF($AA$3="","",DBCS($AA$3))&amp;IF($AC$3="","",DBCS("."&amp;$AC$3))&amp;IF($AE$3="","",DBCS("."&amp;$AE$3))&amp;IF($AA14="","",DBCS("."&amp;$AA14))&amp;DBCS(" ")&amp;$AB14)</f>
        <v/>
      </c>
      <c r="I14" s="2"/>
      <c r="J14" s="2"/>
      <c r="K14" s="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1"/>
      <c r="Z14" s="9"/>
      <c r="AA14" s="16"/>
      <c r="AB14" s="21"/>
      <c r="AC14" s="9"/>
      <c r="AD14" s="9"/>
      <c r="AE14" s="9"/>
      <c r="AF14" s="9"/>
    </row>
    <row r="15" spans="1:32" ht="13.5" customHeight="1">
      <c r="A15" s="4"/>
      <c r="B15" s="9"/>
      <c r="C15" s="9"/>
      <c r="D15" s="2"/>
      <c r="E15" s="2"/>
      <c r="F15" s="9"/>
      <c r="G15" s="9"/>
      <c r="H15" s="9"/>
      <c r="I15" s="2"/>
      <c r="J15" s="2"/>
      <c r="K15" s="2"/>
      <c r="L15" s="9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1"/>
      <c r="Z15" s="9"/>
      <c r="AA15" s="19"/>
      <c r="AB15" s="20"/>
      <c r="AC15" s="9"/>
      <c r="AD15" s="9"/>
      <c r="AE15" s="9"/>
      <c r="AF15" s="9"/>
    </row>
    <row r="16" spans="1:32" ht="13.5" customHeight="1">
      <c r="A16" s="4"/>
      <c r="B16" s="9"/>
      <c r="C16" s="9"/>
      <c r="D16" s="13" t="str">
        <f t="shared" ref="D16" si="2">IF($AA16="","",IF($AA$3="","",DBCS($AA$3))&amp;IF($AC$3="","",DBCS("."&amp;$AC$3))&amp;IF($AE$3="","",DBCS("."&amp;$AE$3))&amp;IF($AA16="","",DBCS("."&amp;$AA16))&amp;DBCS(" ")&amp;$AB16)</f>
        <v/>
      </c>
      <c r="E16" s="15"/>
      <c r="F16" s="14"/>
      <c r="G16" s="14"/>
      <c r="H16" s="14"/>
      <c r="I16" s="15"/>
      <c r="J16" s="15"/>
      <c r="K16" s="1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1"/>
      <c r="Z16" s="9"/>
      <c r="AA16" s="16"/>
      <c r="AB16" s="21"/>
      <c r="AC16" s="9"/>
      <c r="AD16" s="9"/>
      <c r="AE16" s="9"/>
      <c r="AF16" s="9"/>
    </row>
    <row r="17" spans="1:32" ht="13.5" customHeight="1">
      <c r="A17" s="4"/>
      <c r="B17" s="9"/>
      <c r="C17" s="9"/>
      <c r="D17" s="2"/>
      <c r="E17" s="2"/>
      <c r="F17" s="9"/>
      <c r="G17" s="9"/>
      <c r="H17" s="9"/>
      <c r="I17" s="2"/>
      <c r="J17" s="2"/>
      <c r="K17" s="2"/>
      <c r="L17" s="9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1"/>
      <c r="Z17" s="9"/>
      <c r="AA17" s="19"/>
      <c r="AB17" s="20"/>
      <c r="AC17" s="9"/>
      <c r="AD17" s="9"/>
      <c r="AE17" s="9"/>
      <c r="AF17" s="9"/>
    </row>
    <row r="18" spans="1:32" ht="13.5" customHeight="1">
      <c r="A18" s="4"/>
      <c r="B18" s="9"/>
      <c r="C18" s="9"/>
      <c r="D18" s="13" t="str">
        <f t="shared" ref="D18" si="3">IF($AA18="","",IF($AA$3="","",DBCS($AA$3))&amp;IF($AC$3="","",DBCS("."&amp;$AC$3))&amp;IF($AE$3="","",DBCS("."&amp;$AE$3))&amp;IF($AA18="","",DBCS("."&amp;$AA18))&amp;DBCS(" ")&amp;$AB18)</f>
        <v/>
      </c>
      <c r="E18" s="15"/>
      <c r="F18" s="14"/>
      <c r="G18" s="14"/>
      <c r="H18" s="14"/>
      <c r="I18" s="15"/>
      <c r="J18" s="15"/>
      <c r="K18" s="15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1"/>
      <c r="Z18" s="9"/>
      <c r="AA18" s="16"/>
      <c r="AB18" s="21"/>
      <c r="AC18" s="9"/>
      <c r="AD18" s="9"/>
      <c r="AE18" s="9"/>
      <c r="AF18" s="9"/>
    </row>
    <row r="19" spans="1:32" ht="13.5" customHeight="1">
      <c r="A19" s="4"/>
      <c r="B19" s="9"/>
      <c r="C19" s="9"/>
      <c r="D19" s="2"/>
      <c r="E19" s="2"/>
      <c r="F19" s="9"/>
      <c r="G19" s="9"/>
      <c r="H19" s="9"/>
      <c r="I19" s="2"/>
      <c r="J19" s="2"/>
      <c r="K19" s="2"/>
      <c r="L19" s="9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9"/>
      <c r="AA19" s="19"/>
      <c r="AB19" s="20"/>
      <c r="AC19" s="9"/>
      <c r="AD19" s="9"/>
      <c r="AE19" s="9"/>
      <c r="AF19" s="9"/>
    </row>
    <row r="20" spans="1:32" ht="13.5" customHeight="1">
      <c r="A20" s="4"/>
      <c r="B20" s="9"/>
      <c r="C20" s="9"/>
      <c r="D20" s="13" t="str">
        <f t="shared" ref="D20" si="4">IF($AA20="","",IF($AA$3="","",DBCS($AA$3))&amp;IF($AC$3="","",DBCS("."&amp;$AC$3))&amp;IF($AE$3="","",DBCS("."&amp;$AE$3))&amp;IF($AA20="","",DBCS("."&amp;$AA20))&amp;DBCS(" ")&amp;$AB20)</f>
        <v/>
      </c>
      <c r="E20" s="15"/>
      <c r="F20" s="14"/>
      <c r="G20" s="14"/>
      <c r="H20" s="14"/>
      <c r="I20" s="15"/>
      <c r="J20" s="15"/>
      <c r="K20" s="15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1"/>
      <c r="Z20" s="9"/>
      <c r="AA20" s="16"/>
      <c r="AB20" s="21"/>
      <c r="AC20" s="9"/>
      <c r="AD20" s="9"/>
      <c r="AE20" s="9"/>
      <c r="AF20" s="9"/>
    </row>
    <row r="21" spans="1:32" ht="13.5" customHeight="1">
      <c r="A21" s="4"/>
      <c r="B21" s="9"/>
      <c r="C21" s="9"/>
      <c r="D21" s="2"/>
      <c r="E21" s="2"/>
      <c r="F21" s="9"/>
      <c r="G21" s="9"/>
      <c r="H21" s="9"/>
      <c r="I21" s="2"/>
      <c r="J21" s="2"/>
      <c r="K21" s="2"/>
      <c r="L21" s="9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1"/>
      <c r="Z21" s="9"/>
      <c r="AA21" s="19"/>
      <c r="AB21" s="20"/>
      <c r="AC21" s="9"/>
      <c r="AD21" s="9"/>
      <c r="AE21" s="9"/>
      <c r="AF21" s="9"/>
    </row>
    <row r="22" spans="1:32" ht="13.5" customHeight="1">
      <c r="A22" s="4"/>
      <c r="B22" s="9"/>
      <c r="C22" s="9"/>
      <c r="D22" s="13" t="str">
        <f t="shared" ref="D22" si="5">IF($AA22="","",IF($AA$3="","",DBCS($AA$3))&amp;IF($AC$3="","",DBCS("."&amp;$AC$3))&amp;IF($AE$3="","",DBCS("."&amp;$AE$3))&amp;IF($AA22="","",DBCS("."&amp;$AA22))&amp;DBCS(" ")&amp;$AB22)</f>
        <v/>
      </c>
      <c r="E22" s="15"/>
      <c r="F22" s="14"/>
      <c r="G22" s="14"/>
      <c r="H22" s="14"/>
      <c r="I22" s="15"/>
      <c r="J22" s="15"/>
      <c r="K22" s="15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1"/>
      <c r="Z22" s="9"/>
      <c r="AA22" s="16"/>
      <c r="AB22" s="21"/>
      <c r="AC22" s="9"/>
      <c r="AD22" s="9"/>
      <c r="AE22" s="9"/>
      <c r="AF22" s="9"/>
    </row>
    <row r="23" spans="1:32" ht="13.5" customHeight="1">
      <c r="A23" s="4"/>
      <c r="B23" s="9"/>
      <c r="C23" s="9"/>
      <c r="D23" s="2"/>
      <c r="E23" s="2"/>
      <c r="F23" s="9"/>
      <c r="G23" s="9"/>
      <c r="H23" s="9"/>
      <c r="I23" s="2"/>
      <c r="J23" s="2"/>
      <c r="K23" s="2"/>
      <c r="L23" s="9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  <c r="Z23" s="9"/>
      <c r="AA23" s="19"/>
      <c r="AB23" s="20"/>
      <c r="AC23" s="9"/>
      <c r="AD23" s="9"/>
      <c r="AE23" s="9"/>
      <c r="AF23" s="9"/>
    </row>
    <row r="24" spans="1:32" ht="13.5" customHeight="1">
      <c r="A24" s="4"/>
      <c r="B24" s="9"/>
      <c r="C24" s="9"/>
      <c r="D24" s="13" t="str">
        <f t="shared" ref="D24" si="6">IF($AA24="","",IF($AA$3="","",DBCS($AA$3))&amp;IF($AC$3="","",DBCS("."&amp;$AC$3))&amp;IF($AE$3="","",DBCS("."&amp;$AE$3))&amp;IF($AA24="","",DBCS("."&amp;$AA24))&amp;DBCS(" ")&amp;$AB24)</f>
        <v/>
      </c>
      <c r="E24" s="15"/>
      <c r="F24" s="14"/>
      <c r="G24" s="14"/>
      <c r="H24" s="14"/>
      <c r="I24" s="15"/>
      <c r="J24" s="15"/>
      <c r="K24" s="15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1"/>
      <c r="Z24" s="9"/>
      <c r="AA24" s="16"/>
      <c r="AB24" s="21"/>
      <c r="AC24" s="9"/>
      <c r="AD24" s="9"/>
      <c r="AE24" s="9"/>
      <c r="AF24" s="9"/>
    </row>
    <row r="25" spans="1:32" ht="13.5" customHeight="1">
      <c r="A25" s="4"/>
      <c r="B25" s="9"/>
      <c r="C25" s="9"/>
      <c r="D25" s="2"/>
      <c r="E25" s="2"/>
      <c r="F25" s="9"/>
      <c r="G25" s="9"/>
      <c r="H25" s="9"/>
      <c r="I25" s="2"/>
      <c r="J25" s="2"/>
      <c r="K25" s="2"/>
      <c r="L25" s="9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1"/>
      <c r="Z25" s="9"/>
      <c r="AA25" s="19"/>
      <c r="AB25" s="20"/>
      <c r="AC25" s="9"/>
      <c r="AD25" s="9"/>
      <c r="AE25" s="9"/>
      <c r="AF25" s="9"/>
    </row>
    <row r="26" spans="1:32" ht="13.5" customHeight="1">
      <c r="A26" s="4"/>
      <c r="B26" s="9"/>
      <c r="C26" s="9"/>
      <c r="D26" s="13" t="str">
        <f t="shared" ref="D26" si="7">IF($AA26="","",IF($AA$3="","",DBCS($AA$3))&amp;IF($AC$3="","",DBCS("."&amp;$AC$3))&amp;IF($AE$3="","",DBCS("."&amp;$AE$3))&amp;IF($AA26="","",DBCS("."&amp;$AA26))&amp;DBCS(" ")&amp;$AB26)</f>
        <v/>
      </c>
      <c r="E26" s="15"/>
      <c r="F26" s="14"/>
      <c r="G26" s="14"/>
      <c r="H26" s="14"/>
      <c r="I26" s="15"/>
      <c r="J26" s="15"/>
      <c r="K26" s="15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1"/>
      <c r="Z26" s="9"/>
      <c r="AA26" s="16"/>
      <c r="AB26" s="21"/>
      <c r="AC26" s="9"/>
      <c r="AD26" s="9"/>
      <c r="AE26" s="9"/>
      <c r="AF26" s="9"/>
    </row>
    <row r="27" spans="1:32" ht="13.5" customHeight="1">
      <c r="A27" s="4"/>
      <c r="B27" s="9"/>
      <c r="C27" s="9"/>
      <c r="D27" s="2"/>
      <c r="E27" s="2"/>
      <c r="F27" s="9"/>
      <c r="G27" s="9"/>
      <c r="H27" s="9"/>
      <c r="I27" s="2"/>
      <c r="J27" s="2"/>
      <c r="K27" s="2"/>
      <c r="L27" s="9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1"/>
      <c r="Z27" s="9"/>
      <c r="AA27" s="19"/>
      <c r="AB27" s="20"/>
      <c r="AC27" s="9"/>
      <c r="AD27" s="9"/>
      <c r="AE27" s="9"/>
      <c r="AF27" s="9"/>
    </row>
    <row r="28" spans="1:32" ht="13.5" customHeight="1">
      <c r="A28" s="4"/>
      <c r="B28" s="9"/>
      <c r="C28" s="9"/>
      <c r="D28" s="13" t="str">
        <f t="shared" ref="D28" si="8">IF($AA28="","",IF($AA$3="","",DBCS($AA$3))&amp;IF($AC$3="","",DBCS("."&amp;$AC$3))&amp;IF($AE$3="","",DBCS("."&amp;$AE$3))&amp;IF($AA28="","",DBCS("."&amp;$AA28))&amp;DBCS(" ")&amp;$AB28)</f>
        <v/>
      </c>
      <c r="E28" s="15"/>
      <c r="F28" s="14"/>
      <c r="G28" s="14"/>
      <c r="H28" s="14"/>
      <c r="I28" s="15"/>
      <c r="J28" s="15"/>
      <c r="K28" s="15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1"/>
      <c r="Z28" s="9"/>
      <c r="AA28" s="16"/>
      <c r="AB28" s="21"/>
      <c r="AC28" s="9"/>
      <c r="AD28" s="9"/>
      <c r="AE28" s="9"/>
      <c r="AF28" s="9"/>
    </row>
    <row r="29" spans="1:32" ht="13.5" customHeight="1">
      <c r="A29" s="4"/>
      <c r="B29" s="9"/>
      <c r="C29" s="9"/>
      <c r="D29" s="2"/>
      <c r="E29" s="2"/>
      <c r="F29" s="9"/>
      <c r="G29" s="9"/>
      <c r="H29" s="9"/>
      <c r="I29" s="2"/>
      <c r="J29" s="2"/>
      <c r="K29" s="2"/>
      <c r="L29" s="9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1"/>
      <c r="Z29" s="9"/>
      <c r="AA29" s="19"/>
      <c r="AB29" s="20"/>
      <c r="AC29" s="9"/>
      <c r="AD29" s="9"/>
      <c r="AE29" s="9"/>
      <c r="AF29" s="9"/>
    </row>
    <row r="30" spans="1:32" ht="13.5" customHeight="1">
      <c r="A30" s="4"/>
      <c r="B30" s="9"/>
      <c r="C30" s="9"/>
      <c r="D30" s="13" t="str">
        <f t="shared" ref="D30" si="9">IF($AA30="","",IF($AA$3="","",DBCS($AA$3))&amp;IF($AC$3="","",DBCS("."&amp;$AC$3))&amp;IF($AE$3="","",DBCS("."&amp;$AE$3))&amp;IF($AA30="","",DBCS("."&amp;$AA30))&amp;DBCS(" ")&amp;$AB30)</f>
        <v/>
      </c>
      <c r="E30" s="15"/>
      <c r="F30" s="14"/>
      <c r="G30" s="14"/>
      <c r="H30" s="14"/>
      <c r="I30" s="15"/>
      <c r="J30" s="15"/>
      <c r="K30" s="15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1"/>
      <c r="Z30" s="9"/>
      <c r="AA30" s="16"/>
      <c r="AB30" s="21"/>
      <c r="AC30" s="9"/>
      <c r="AD30" s="9"/>
      <c r="AE30" s="9"/>
      <c r="AF30" s="9"/>
    </row>
    <row r="31" spans="1:32" ht="13.5" customHeight="1">
      <c r="A31" s="4"/>
      <c r="B31" s="9"/>
      <c r="C31" s="9"/>
      <c r="D31" s="2"/>
      <c r="E31" s="2"/>
      <c r="F31" s="9"/>
      <c r="G31" s="9"/>
      <c r="H31" s="9"/>
      <c r="I31" s="2"/>
      <c r="J31" s="2"/>
      <c r="K31" s="2"/>
      <c r="L31" s="9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1"/>
      <c r="Z31" s="9"/>
      <c r="AA31" s="19"/>
      <c r="AB31" s="20"/>
      <c r="AC31" s="9"/>
      <c r="AD31" s="9"/>
      <c r="AE31" s="9"/>
      <c r="AF31" s="9"/>
    </row>
    <row r="32" spans="1:32" ht="13.5" customHeight="1">
      <c r="A32" s="4"/>
      <c r="B32" s="9"/>
      <c r="C32" s="9"/>
      <c r="D32" s="13" t="str">
        <f t="shared" ref="D32" si="10">IF($AA32="","",IF($AA$3="","",DBCS($AA$3))&amp;IF($AC$3="","",DBCS("."&amp;$AC$3))&amp;IF($AE$3="","",DBCS("."&amp;$AE$3))&amp;IF($AA32="","",DBCS("."&amp;$AA32))&amp;DBCS(" ")&amp;$AB32)</f>
        <v/>
      </c>
      <c r="E32" s="15"/>
      <c r="F32" s="14"/>
      <c r="G32" s="14"/>
      <c r="H32" s="14"/>
      <c r="I32" s="15"/>
      <c r="J32" s="15"/>
      <c r="K32" s="15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1"/>
      <c r="Z32" s="9"/>
      <c r="AA32" s="16"/>
      <c r="AB32" s="21"/>
      <c r="AC32" s="9"/>
      <c r="AD32" s="9"/>
      <c r="AE32" s="9"/>
      <c r="AF32" s="9"/>
    </row>
    <row r="33" spans="1:32" ht="13.5" customHeight="1">
      <c r="A33" s="4"/>
      <c r="B33" s="9"/>
      <c r="C33" s="9"/>
      <c r="D33" s="2"/>
      <c r="E33" s="2"/>
      <c r="F33" s="9"/>
      <c r="G33" s="9"/>
      <c r="H33" s="9"/>
      <c r="I33" s="2"/>
      <c r="J33" s="2"/>
      <c r="K33" s="2"/>
      <c r="L33" s="9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1"/>
      <c r="Z33" s="9"/>
      <c r="AA33" s="19"/>
      <c r="AB33" s="20"/>
      <c r="AC33" s="9"/>
      <c r="AD33" s="9"/>
      <c r="AE33" s="9"/>
      <c r="AF33" s="9"/>
    </row>
    <row r="34" spans="1:32" ht="13.5" customHeight="1">
      <c r="A34" s="4"/>
      <c r="B34" s="9"/>
      <c r="C34" s="9"/>
      <c r="D34" s="13" t="str">
        <f t="shared" ref="D34" si="11">IF($AA34="","",IF($AA$3="","",DBCS($AA$3))&amp;IF($AC$3="","",DBCS("."&amp;$AC$3))&amp;IF($AE$3="","",DBCS("."&amp;$AE$3))&amp;IF($AA34="","",DBCS("."&amp;$AA34))&amp;DBCS(" ")&amp;$AB34)</f>
        <v/>
      </c>
      <c r="E34" s="15"/>
      <c r="F34" s="14"/>
      <c r="G34" s="14"/>
      <c r="H34" s="14"/>
      <c r="I34" s="15"/>
      <c r="J34" s="15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1"/>
      <c r="Z34" s="9"/>
      <c r="AA34" s="16"/>
      <c r="AB34" s="21"/>
      <c r="AC34" s="9"/>
      <c r="AD34" s="9"/>
      <c r="AE34" s="9"/>
      <c r="AF34" s="9"/>
    </row>
    <row r="35" spans="1:32" ht="13.5" customHeight="1">
      <c r="A35" s="4"/>
      <c r="B35" s="9"/>
      <c r="C35" s="9"/>
      <c r="D35" s="2"/>
      <c r="E35" s="2"/>
      <c r="F35" s="9"/>
      <c r="G35" s="9"/>
      <c r="H35" s="9"/>
      <c r="I35" s="2"/>
      <c r="J35" s="2"/>
      <c r="K35" s="2"/>
      <c r="L35" s="9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1"/>
      <c r="Z35" s="9"/>
      <c r="AA35" s="19"/>
      <c r="AB35" s="20"/>
      <c r="AC35" s="9"/>
      <c r="AD35" s="9"/>
      <c r="AE35" s="9"/>
      <c r="AF35" s="9"/>
    </row>
    <row r="36" spans="1:32" ht="13.5" customHeight="1">
      <c r="A36" s="4"/>
      <c r="B36" s="2"/>
      <c r="C36" s="2"/>
      <c r="D36" s="1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5"/>
    </row>
    <row r="37" spans="1:32" ht="13.5" customHeight="1">
      <c r="A37" s="4"/>
      <c r="B37" s="2"/>
      <c r="C37" s="2"/>
      <c r="D37" s="1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"/>
    </row>
    <row r="38" spans="1:32" ht="13.5" customHeight="1">
      <c r="A38" s="4"/>
      <c r="B38" s="2"/>
      <c r="C38" s="2"/>
      <c r="D38" s="1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5"/>
    </row>
    <row r="39" spans="1:32" ht="13.5" customHeight="1">
      <c r="A39" s="4"/>
      <c r="B39" s="2"/>
      <c r="C39" s="2"/>
      <c r="D39" s="1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"/>
    </row>
    <row r="40" spans="1:32" ht="13.5" customHeight="1">
      <c r="A40" s="4"/>
      <c r="B40" s="2"/>
      <c r="C40" s="2"/>
      <c r="D40" s="1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5"/>
    </row>
    <row r="41" spans="1:32" ht="13.5" customHeight="1">
      <c r="A41" s="4"/>
      <c r="B41" s="2"/>
      <c r="C41" s="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5"/>
    </row>
    <row r="42" spans="1:32" ht="13.5" customHeight="1">
      <c r="A42" s="4"/>
      <c r="B42" s="2"/>
      <c r="C42" s="2"/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5"/>
    </row>
    <row r="43" spans="1:32" ht="13.5" customHeight="1">
      <c r="A43" s="4"/>
      <c r="B43" s="2"/>
      <c r="C43" s="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"/>
    </row>
    <row r="44" spans="1:32" ht="13.5" customHeight="1">
      <c r="A44" s="4"/>
      <c r="B44" s="2"/>
      <c r="C44" s="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5"/>
    </row>
    <row r="45" spans="1:32" ht="13.5" customHeight="1">
      <c r="A45" s="4"/>
      <c r="B45" s="2"/>
      <c r="C45" s="2"/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5"/>
    </row>
    <row r="46" spans="1:32" ht="13.5" customHeight="1">
      <c r="A46" s="4"/>
      <c r="B46" s="2"/>
      <c r="C46" s="2"/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5"/>
    </row>
    <row r="47" spans="1:32" ht="13.5" customHeight="1">
      <c r="A47" s="4"/>
      <c r="B47" s="2"/>
      <c r="C47" s="2"/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5"/>
    </row>
    <row r="48" spans="1:32" ht="13.5" customHeight="1">
      <c r="A48" s="4"/>
      <c r="B48" s="2"/>
      <c r="C48" s="2"/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5"/>
    </row>
    <row r="49" spans="1:32" ht="13.5" customHeight="1">
      <c r="A49" s="4"/>
      <c r="B49" s="2"/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5"/>
    </row>
    <row r="50" spans="1:32" ht="13.5" customHeight="1">
      <c r="A50" s="4"/>
      <c r="B50" s="2"/>
      <c r="C50" s="2"/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5"/>
    </row>
    <row r="51" spans="1:32" ht="13.5" customHeight="1">
      <c r="A51" s="4"/>
      <c r="B51" s="2"/>
      <c r="C51" s="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"/>
    </row>
    <row r="52" spans="1:32" ht="13.5" customHeight="1">
      <c r="A52" s="4"/>
      <c r="B52" s="2"/>
      <c r="C52" s="2"/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5"/>
    </row>
    <row r="53" spans="1:32" ht="13.5" customHeight="1">
      <c r="A53" s="4"/>
      <c r="B53" s="2"/>
      <c r="C53" s="2"/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5"/>
    </row>
    <row r="54" spans="1:32" ht="13.5" customHeight="1">
      <c r="A54" s="4"/>
      <c r="B54" s="2"/>
      <c r="C54" s="2"/>
      <c r="D54" s="1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5"/>
    </row>
    <row r="55" spans="1:32" ht="13.5" customHeight="1">
      <c r="A55" s="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1"/>
      <c r="Z55" s="9"/>
      <c r="AA55" s="9"/>
      <c r="AB55" s="9"/>
      <c r="AC55" s="9"/>
      <c r="AD55" s="9"/>
      <c r="AE55" s="9"/>
      <c r="AF55" s="9"/>
    </row>
    <row r="56" spans="1:32" ht="13.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8"/>
    </row>
    <row r="57" spans="1:32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</sheetData>
  <customSheetViews>
    <customSheetView guid="{0BEAC79D-708F-45FD-A222-055D201B52D5}" showPageBreaks="1" printArea="1" view="pageBreakPreview" showRuler="0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1"/>
      <headerFooter alignWithMargins="0">
        <oddFooter>&amp;CⅡ.3.1-&amp;P</oddFooter>
      </headerFooter>
    </customSheetView>
    <customSheetView guid="{306D1AAA-0140-4D40-9745-D8F442D56CF2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2"/>
      <headerFooter alignWithMargins="0">
        <oddFooter>&amp;CⅡ.3.1-&amp;P</oddFooter>
      </headerFooter>
    </customSheetView>
    <customSheetView guid="{BDBA9E3C-757D-4583-A236-21E32FC5642C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3"/>
      <headerFooter alignWithMargins="0">
        <oddFooter>&amp;CⅡ.3.1-&amp;P</oddFooter>
      </headerFooter>
    </customSheetView>
  </customSheetViews>
  <mergeCells count="8">
    <mergeCell ref="AC1:AD1"/>
    <mergeCell ref="AE1:AF1"/>
    <mergeCell ref="AA6:AB6"/>
    <mergeCell ref="AA1:AB1"/>
    <mergeCell ref="D1:Y1"/>
    <mergeCell ref="D2:Y2"/>
    <mergeCell ref="A3:Y3"/>
    <mergeCell ref="A4:Y5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useFirstPageNumber="1" r:id="rId4"/>
  <headerFooter scaleWithDoc="0" alignWithMargins="0">
    <oddFooter>&amp;C5.2.1-&amp;P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95"/>
  <sheetViews>
    <sheetView view="pageBreakPreview" zoomScaleNormal="85" zoomScaleSheetLayoutView="100" workbookViewId="0">
      <pane ySplit="4" topLeftCell="A5" activePane="bottomLeft" state="frozen"/>
      <selection activeCell="Q16" sqref="Q16"/>
      <selection pane="bottomLeft" activeCell="Q23" sqref="Q23:W24"/>
    </sheetView>
  </sheetViews>
  <sheetFormatPr defaultColWidth="3.6640625" defaultRowHeight="13.5" customHeight="1"/>
  <cols>
    <col min="1" max="16384" width="3.6640625" style="22"/>
  </cols>
  <sheetData>
    <row r="1" spans="1:38" s="1" customFormat="1" ht="13.5" customHeight="1">
      <c r="A1" s="28" t="s">
        <v>5</v>
      </c>
      <c r="B1" s="29"/>
      <c r="C1" s="30"/>
      <c r="D1" s="30"/>
      <c r="E1" s="30"/>
      <c r="F1" s="30"/>
      <c r="G1" s="30"/>
      <c r="H1" s="30"/>
      <c r="I1" s="28" t="s">
        <v>17</v>
      </c>
      <c r="J1" s="30"/>
      <c r="K1" s="30"/>
      <c r="L1" s="30"/>
      <c r="M1" s="30"/>
      <c r="N1" s="30"/>
      <c r="O1" s="30"/>
      <c r="P1" s="151" t="s">
        <v>18</v>
      </c>
      <c r="Q1" s="152"/>
      <c r="R1" s="152"/>
      <c r="S1" s="152"/>
      <c r="T1" s="152"/>
      <c r="U1" s="152"/>
      <c r="V1" s="152"/>
      <c r="W1" s="152"/>
      <c r="X1" s="152"/>
      <c r="Y1" s="152"/>
      <c r="Z1" s="152" t="s">
        <v>19</v>
      </c>
      <c r="AA1" s="152"/>
      <c r="AB1" s="152"/>
      <c r="AC1" s="152" t="s">
        <v>20</v>
      </c>
      <c r="AD1" s="152"/>
      <c r="AE1" s="152"/>
      <c r="AF1" s="152"/>
      <c r="AG1" s="152"/>
      <c r="AH1" s="152"/>
      <c r="AI1" s="152"/>
      <c r="AJ1" s="152"/>
      <c r="AK1" s="152"/>
      <c r="AL1" s="153"/>
    </row>
    <row r="2" spans="1:38" s="1" customFormat="1" ht="13.5" customHeight="1">
      <c r="A2" s="154" t="str">
        <f>目次!D1</f>
        <v>災対用ビル別情報マップ</v>
      </c>
      <c r="B2" s="207"/>
      <c r="C2" s="207"/>
      <c r="D2" s="207"/>
      <c r="E2" s="207"/>
      <c r="F2" s="207"/>
      <c r="G2" s="207"/>
      <c r="H2" s="208"/>
      <c r="I2" s="154" t="str">
        <f>目次!D2</f>
        <v>第５章　ファイル設計</v>
      </c>
      <c r="J2" s="155"/>
      <c r="K2" s="155"/>
      <c r="L2" s="155"/>
      <c r="M2" s="155"/>
      <c r="N2" s="155"/>
      <c r="O2" s="156"/>
      <c r="P2" s="201" t="str">
        <f>目次!A4</f>
        <v>５．２．１　被災状況登録</v>
      </c>
      <c r="Q2" s="202"/>
      <c r="R2" s="202"/>
      <c r="S2" s="202"/>
      <c r="T2" s="202"/>
      <c r="U2" s="202"/>
      <c r="V2" s="202"/>
      <c r="W2" s="202"/>
      <c r="X2" s="202"/>
      <c r="Y2" s="202"/>
      <c r="Z2" s="202" t="s">
        <v>3</v>
      </c>
      <c r="AA2" s="202"/>
      <c r="AB2" s="202"/>
      <c r="AC2" s="202">
        <v>42398</v>
      </c>
      <c r="AD2" s="202"/>
      <c r="AE2" s="202"/>
      <c r="AF2" s="202" t="s">
        <v>2</v>
      </c>
      <c r="AG2" s="202"/>
      <c r="AH2" s="202"/>
      <c r="AI2" s="202" t="s">
        <v>6</v>
      </c>
      <c r="AJ2" s="202"/>
      <c r="AK2" s="202"/>
      <c r="AL2" s="203"/>
    </row>
    <row r="3" spans="1:38" s="1" customFormat="1" ht="13.5" customHeight="1">
      <c r="A3" s="209"/>
      <c r="B3" s="210"/>
      <c r="C3" s="210"/>
      <c r="D3" s="210"/>
      <c r="E3" s="210"/>
      <c r="F3" s="210"/>
      <c r="G3" s="210"/>
      <c r="H3" s="211"/>
      <c r="I3" s="157"/>
      <c r="J3" s="158"/>
      <c r="K3" s="158"/>
      <c r="L3" s="158"/>
      <c r="M3" s="158"/>
      <c r="N3" s="158"/>
      <c r="O3" s="159"/>
      <c r="P3" s="204"/>
      <c r="Q3" s="205"/>
      <c r="R3" s="205"/>
      <c r="S3" s="205"/>
      <c r="T3" s="205"/>
      <c r="U3" s="205"/>
      <c r="V3" s="205"/>
      <c r="W3" s="205"/>
      <c r="X3" s="205"/>
      <c r="Y3" s="205"/>
      <c r="Z3" s="205" t="s">
        <v>8</v>
      </c>
      <c r="AA3" s="205"/>
      <c r="AB3" s="205"/>
      <c r="AC3" s="205"/>
      <c r="AD3" s="205"/>
      <c r="AE3" s="205"/>
      <c r="AF3" s="205" t="s">
        <v>4</v>
      </c>
      <c r="AG3" s="205"/>
      <c r="AH3" s="205"/>
      <c r="AI3" s="205"/>
      <c r="AJ3" s="205"/>
      <c r="AK3" s="205"/>
      <c r="AL3" s="206"/>
    </row>
    <row r="4" spans="1:38" s="1" customFormat="1" ht="13.5" customHeight="1">
      <c r="A4" s="24" t="s">
        <v>26</v>
      </c>
      <c r="B4" s="31"/>
      <c r="C4" s="25"/>
      <c r="D4" s="25"/>
      <c r="E4" s="33" t="str">
        <f>目次!D8</f>
        <v>５．２．１．１　被災状況CSV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24" t="s">
        <v>27</v>
      </c>
      <c r="Q4" s="31"/>
      <c r="R4" s="25"/>
      <c r="S4" s="25"/>
      <c r="T4" s="248" t="s">
        <v>28</v>
      </c>
      <c r="U4" s="249"/>
      <c r="V4" s="249"/>
      <c r="W4" s="249"/>
      <c r="X4" s="250"/>
      <c r="Y4" s="35"/>
      <c r="Z4" s="36"/>
      <c r="AA4" s="36"/>
      <c r="AB4" s="36"/>
      <c r="AC4" s="37"/>
      <c r="AD4" s="37"/>
      <c r="AE4" s="37"/>
      <c r="AF4" s="36"/>
      <c r="AG4" s="36"/>
      <c r="AH4" s="36"/>
      <c r="AI4" s="36"/>
      <c r="AJ4" s="37"/>
      <c r="AK4" s="37"/>
      <c r="AL4" s="38"/>
    </row>
    <row r="5" spans="1:38" s="40" customFormat="1" ht="13.5" customHeight="1">
      <c r="A5" s="65"/>
      <c r="B5" s="39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66"/>
    </row>
    <row r="6" spans="1:38" s="40" customFormat="1" ht="13.5" customHeight="1">
      <c r="A6" s="67"/>
      <c r="B6" s="41" t="s">
        <v>113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68"/>
    </row>
    <row r="7" spans="1:38" s="40" customFormat="1" ht="13.5" customHeight="1">
      <c r="A7" s="67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68"/>
    </row>
    <row r="8" spans="1:38" s="40" customFormat="1" ht="13.5" customHeight="1">
      <c r="A8" s="67"/>
      <c r="B8" s="42" t="s">
        <v>30</v>
      </c>
      <c r="C8" s="43" t="s">
        <v>7</v>
      </c>
      <c r="D8" s="44"/>
      <c r="E8" s="45"/>
      <c r="F8" s="45"/>
      <c r="G8" s="46"/>
      <c r="H8" s="44" t="s">
        <v>21</v>
      </c>
      <c r="I8" s="45"/>
      <c r="J8" s="45"/>
      <c r="K8" s="45"/>
      <c r="L8" s="45"/>
      <c r="M8" s="45"/>
      <c r="N8" s="45"/>
      <c r="O8" s="45"/>
      <c r="P8" s="46"/>
      <c r="Q8" s="44" t="s">
        <v>31</v>
      </c>
      <c r="R8" s="45"/>
      <c r="S8" s="45"/>
      <c r="T8" s="45"/>
      <c r="U8" s="45"/>
      <c r="V8" s="46"/>
      <c r="W8" s="46"/>
      <c r="X8" s="44" t="s">
        <v>32</v>
      </c>
      <c r="Y8" s="46"/>
      <c r="Z8" s="44" t="s">
        <v>22</v>
      </c>
      <c r="AA8" s="46"/>
      <c r="AB8" s="44"/>
      <c r="AC8" s="44" t="s">
        <v>33</v>
      </c>
      <c r="AD8" s="47"/>
      <c r="AE8" s="47" t="s">
        <v>37</v>
      </c>
      <c r="AF8" s="45"/>
      <c r="AG8" s="45"/>
      <c r="AH8" s="45"/>
      <c r="AI8" s="45"/>
      <c r="AJ8" s="45"/>
      <c r="AK8" s="46"/>
      <c r="AL8" s="68"/>
    </row>
    <row r="9" spans="1:38" s="51" customFormat="1" ht="13.5" customHeight="1">
      <c r="A9" s="50"/>
      <c r="B9" s="54"/>
      <c r="C9" s="55" t="s">
        <v>59</v>
      </c>
      <c r="D9" s="56"/>
      <c r="E9" s="56"/>
      <c r="F9" s="56"/>
      <c r="G9" s="56"/>
      <c r="H9" s="57"/>
      <c r="I9" s="57"/>
      <c r="J9" s="57"/>
      <c r="K9" s="57"/>
      <c r="L9" s="57"/>
      <c r="M9" s="57"/>
      <c r="N9" s="57"/>
      <c r="O9" s="57"/>
      <c r="P9" s="57"/>
      <c r="Q9" s="101" t="s">
        <v>63</v>
      </c>
      <c r="R9" s="58"/>
      <c r="S9" s="58"/>
      <c r="T9" s="58"/>
      <c r="U9" s="58"/>
      <c r="V9" s="58"/>
      <c r="W9" s="58"/>
      <c r="X9" s="59"/>
      <c r="Y9" s="59"/>
      <c r="Z9" s="59"/>
      <c r="AA9" s="59"/>
      <c r="AB9" s="59"/>
      <c r="AC9" s="59"/>
      <c r="AD9" s="59"/>
      <c r="AE9" s="57"/>
      <c r="AF9" s="60"/>
      <c r="AG9" s="60"/>
      <c r="AH9" s="60"/>
      <c r="AI9" s="60"/>
      <c r="AJ9" s="60"/>
      <c r="AK9" s="61"/>
      <c r="AL9" s="52"/>
    </row>
    <row r="10" spans="1:38" s="48" customFormat="1" ht="13.5" customHeight="1">
      <c r="A10" s="72"/>
      <c r="B10" s="63">
        <v>1</v>
      </c>
      <c r="C10" s="213" t="s">
        <v>75</v>
      </c>
      <c r="D10" s="214"/>
      <c r="E10" s="214"/>
      <c r="F10" s="214"/>
      <c r="G10" s="215"/>
      <c r="H10" s="172" t="s">
        <v>64</v>
      </c>
      <c r="I10" s="173"/>
      <c r="J10" s="173"/>
      <c r="K10" s="173"/>
      <c r="L10" s="173"/>
      <c r="M10" s="173"/>
      <c r="N10" s="173"/>
      <c r="O10" s="173"/>
      <c r="P10" s="174"/>
      <c r="Q10" s="178" t="s">
        <v>74</v>
      </c>
      <c r="R10" s="179"/>
      <c r="S10" s="179"/>
      <c r="T10" s="179"/>
      <c r="U10" s="179"/>
      <c r="V10" s="179"/>
      <c r="W10" s="180"/>
      <c r="X10" s="212" t="s">
        <v>65</v>
      </c>
      <c r="Y10" s="197"/>
      <c r="Z10" s="184" t="s">
        <v>29</v>
      </c>
      <c r="AA10" s="185"/>
      <c r="AB10" s="186"/>
      <c r="AC10" s="184" t="s">
        <v>29</v>
      </c>
      <c r="AD10" s="186"/>
      <c r="AE10" s="160"/>
      <c r="AF10" s="161"/>
      <c r="AG10" s="161"/>
      <c r="AH10" s="161"/>
      <c r="AI10" s="161"/>
      <c r="AJ10" s="161"/>
      <c r="AK10" s="162"/>
      <c r="AL10" s="73"/>
    </row>
    <row r="11" spans="1:38" s="48" customFormat="1" ht="13.5" customHeight="1">
      <c r="A11" s="72"/>
      <c r="B11" s="64"/>
      <c r="C11" s="216"/>
      <c r="D11" s="217"/>
      <c r="E11" s="217"/>
      <c r="F11" s="217"/>
      <c r="G11" s="218"/>
      <c r="H11" s="175"/>
      <c r="I11" s="176"/>
      <c r="J11" s="176"/>
      <c r="K11" s="176"/>
      <c r="L11" s="176"/>
      <c r="M11" s="176"/>
      <c r="N11" s="176"/>
      <c r="O11" s="176"/>
      <c r="P11" s="177"/>
      <c r="Q11" s="181"/>
      <c r="R11" s="182"/>
      <c r="S11" s="182"/>
      <c r="T11" s="182"/>
      <c r="U11" s="182"/>
      <c r="V11" s="182"/>
      <c r="W11" s="183"/>
      <c r="X11" s="198"/>
      <c r="Y11" s="199"/>
      <c r="Z11" s="187"/>
      <c r="AA11" s="188"/>
      <c r="AB11" s="189"/>
      <c r="AC11" s="187"/>
      <c r="AD11" s="189"/>
      <c r="AE11" s="163"/>
      <c r="AF11" s="164"/>
      <c r="AG11" s="164"/>
      <c r="AH11" s="164"/>
      <c r="AI11" s="164"/>
      <c r="AJ11" s="164"/>
      <c r="AK11" s="165"/>
      <c r="AL11" s="73"/>
    </row>
    <row r="12" spans="1:38" s="48" customFormat="1" ht="13.5" customHeight="1">
      <c r="A12" s="72"/>
      <c r="B12" s="63">
        <f>B10+1</f>
        <v>2</v>
      </c>
      <c r="C12" s="213" t="s">
        <v>76</v>
      </c>
      <c r="D12" s="214"/>
      <c r="E12" s="214"/>
      <c r="F12" s="214"/>
      <c r="G12" s="215"/>
      <c r="H12" s="172" t="s">
        <v>77</v>
      </c>
      <c r="I12" s="173"/>
      <c r="J12" s="173"/>
      <c r="K12" s="173"/>
      <c r="L12" s="173"/>
      <c r="M12" s="173"/>
      <c r="N12" s="173"/>
      <c r="O12" s="173"/>
      <c r="P12" s="174"/>
      <c r="Q12" s="219" t="s">
        <v>66</v>
      </c>
      <c r="R12" s="179"/>
      <c r="S12" s="179"/>
      <c r="T12" s="179"/>
      <c r="U12" s="179"/>
      <c r="V12" s="179"/>
      <c r="W12" s="180"/>
      <c r="X12" s="212" t="s">
        <v>65</v>
      </c>
      <c r="Y12" s="197"/>
      <c r="Z12" s="184" t="s">
        <v>54</v>
      </c>
      <c r="AA12" s="185"/>
      <c r="AB12" s="186"/>
      <c r="AC12" s="184">
        <v>20</v>
      </c>
      <c r="AD12" s="186"/>
      <c r="AE12" s="160"/>
      <c r="AF12" s="161"/>
      <c r="AG12" s="161"/>
      <c r="AH12" s="161"/>
      <c r="AI12" s="161"/>
      <c r="AJ12" s="161"/>
      <c r="AK12" s="162"/>
      <c r="AL12" s="73"/>
    </row>
    <row r="13" spans="1:38" s="48" customFormat="1" ht="13.5" customHeight="1">
      <c r="A13" s="72"/>
      <c r="B13" s="64"/>
      <c r="C13" s="216"/>
      <c r="D13" s="217"/>
      <c r="E13" s="217"/>
      <c r="F13" s="217"/>
      <c r="G13" s="218"/>
      <c r="H13" s="175"/>
      <c r="I13" s="176"/>
      <c r="J13" s="176"/>
      <c r="K13" s="176"/>
      <c r="L13" s="176"/>
      <c r="M13" s="176"/>
      <c r="N13" s="176"/>
      <c r="O13" s="176"/>
      <c r="P13" s="177"/>
      <c r="Q13" s="181"/>
      <c r="R13" s="182"/>
      <c r="S13" s="182"/>
      <c r="T13" s="182"/>
      <c r="U13" s="182"/>
      <c r="V13" s="182"/>
      <c r="W13" s="183"/>
      <c r="X13" s="198"/>
      <c r="Y13" s="199"/>
      <c r="Z13" s="187"/>
      <c r="AA13" s="188"/>
      <c r="AB13" s="189"/>
      <c r="AC13" s="187"/>
      <c r="AD13" s="189"/>
      <c r="AE13" s="163"/>
      <c r="AF13" s="164"/>
      <c r="AG13" s="164"/>
      <c r="AH13" s="164"/>
      <c r="AI13" s="164"/>
      <c r="AJ13" s="164"/>
      <c r="AK13" s="165"/>
      <c r="AL13" s="73"/>
    </row>
    <row r="14" spans="1:38" s="48" customFormat="1" ht="13.5" customHeight="1">
      <c r="A14" s="72"/>
      <c r="B14" s="63">
        <f t="shared" ref="B14" si="0">B12+1</f>
        <v>3</v>
      </c>
      <c r="C14" s="213" t="s">
        <v>68</v>
      </c>
      <c r="D14" s="214"/>
      <c r="E14" s="214"/>
      <c r="F14" s="214"/>
      <c r="G14" s="215"/>
      <c r="H14" s="172" t="s">
        <v>62</v>
      </c>
      <c r="I14" s="173"/>
      <c r="J14" s="173"/>
      <c r="K14" s="173"/>
      <c r="L14" s="173"/>
      <c r="M14" s="173"/>
      <c r="N14" s="173"/>
      <c r="O14" s="173"/>
      <c r="P14" s="174"/>
      <c r="Q14" s="178" t="s">
        <v>67</v>
      </c>
      <c r="R14" s="179"/>
      <c r="S14" s="179"/>
      <c r="T14" s="179"/>
      <c r="U14" s="179"/>
      <c r="V14" s="179"/>
      <c r="W14" s="180"/>
      <c r="X14" s="212" t="s">
        <v>65</v>
      </c>
      <c r="Y14" s="197"/>
      <c r="Z14" s="184" t="s">
        <v>29</v>
      </c>
      <c r="AA14" s="185"/>
      <c r="AB14" s="186"/>
      <c r="AC14" s="184" t="s">
        <v>29</v>
      </c>
      <c r="AD14" s="186"/>
      <c r="AE14" s="160"/>
      <c r="AF14" s="161"/>
      <c r="AG14" s="161"/>
      <c r="AH14" s="161"/>
      <c r="AI14" s="161"/>
      <c r="AJ14" s="161"/>
      <c r="AK14" s="162"/>
      <c r="AL14" s="73"/>
    </row>
    <row r="15" spans="1:38" s="48" customFormat="1" ht="13.5" customHeight="1">
      <c r="A15" s="72"/>
      <c r="B15" s="64"/>
      <c r="C15" s="216"/>
      <c r="D15" s="217"/>
      <c r="E15" s="217"/>
      <c r="F15" s="217"/>
      <c r="G15" s="218"/>
      <c r="H15" s="175"/>
      <c r="I15" s="176"/>
      <c r="J15" s="176"/>
      <c r="K15" s="176"/>
      <c r="L15" s="176"/>
      <c r="M15" s="176"/>
      <c r="N15" s="176"/>
      <c r="O15" s="176"/>
      <c r="P15" s="177"/>
      <c r="Q15" s="181"/>
      <c r="R15" s="182"/>
      <c r="S15" s="182"/>
      <c r="T15" s="182"/>
      <c r="U15" s="182"/>
      <c r="V15" s="182"/>
      <c r="W15" s="183"/>
      <c r="X15" s="198"/>
      <c r="Y15" s="199"/>
      <c r="Z15" s="187"/>
      <c r="AA15" s="188"/>
      <c r="AB15" s="189"/>
      <c r="AC15" s="187"/>
      <c r="AD15" s="189"/>
      <c r="AE15" s="163"/>
      <c r="AF15" s="164"/>
      <c r="AG15" s="164"/>
      <c r="AH15" s="164"/>
      <c r="AI15" s="164"/>
      <c r="AJ15" s="164"/>
      <c r="AK15" s="165"/>
      <c r="AL15" s="73"/>
    </row>
    <row r="16" spans="1:38" s="48" customFormat="1" ht="13.5" customHeight="1">
      <c r="A16" s="72"/>
      <c r="B16" s="63">
        <f t="shared" ref="B16" si="1">B14+1</f>
        <v>4</v>
      </c>
      <c r="C16" s="213" t="s">
        <v>69</v>
      </c>
      <c r="D16" s="214"/>
      <c r="E16" s="214"/>
      <c r="F16" s="214"/>
      <c r="G16" s="215"/>
      <c r="H16" s="172" t="s">
        <v>72</v>
      </c>
      <c r="I16" s="173"/>
      <c r="J16" s="173"/>
      <c r="K16" s="173"/>
      <c r="L16" s="173"/>
      <c r="M16" s="173"/>
      <c r="N16" s="173"/>
      <c r="O16" s="173"/>
      <c r="P16" s="174"/>
      <c r="Q16" s="251" t="s">
        <v>44</v>
      </c>
      <c r="R16" s="252"/>
      <c r="S16" s="252"/>
      <c r="T16" s="252"/>
      <c r="U16" s="252"/>
      <c r="V16" s="252"/>
      <c r="W16" s="253"/>
      <c r="X16" s="200" t="s">
        <v>39</v>
      </c>
      <c r="Y16" s="197"/>
      <c r="Z16" s="257" t="s">
        <v>49</v>
      </c>
      <c r="AA16" s="185"/>
      <c r="AB16" s="186"/>
      <c r="AC16" s="257">
        <v>16</v>
      </c>
      <c r="AD16" s="186"/>
      <c r="AE16" s="160"/>
      <c r="AF16" s="161"/>
      <c r="AG16" s="161"/>
      <c r="AH16" s="161"/>
      <c r="AI16" s="161"/>
      <c r="AJ16" s="161"/>
      <c r="AK16" s="162"/>
      <c r="AL16" s="73"/>
    </row>
    <row r="17" spans="1:38" s="48" customFormat="1" ht="13.5" customHeight="1">
      <c r="A17" s="72"/>
      <c r="B17" s="64"/>
      <c r="C17" s="216"/>
      <c r="D17" s="217"/>
      <c r="E17" s="217"/>
      <c r="F17" s="217"/>
      <c r="G17" s="218"/>
      <c r="H17" s="175"/>
      <c r="I17" s="176"/>
      <c r="J17" s="176"/>
      <c r="K17" s="176"/>
      <c r="L17" s="176"/>
      <c r="M17" s="176"/>
      <c r="N17" s="176"/>
      <c r="O17" s="176"/>
      <c r="P17" s="177"/>
      <c r="Q17" s="254"/>
      <c r="R17" s="255"/>
      <c r="S17" s="255"/>
      <c r="T17" s="255"/>
      <c r="U17" s="255"/>
      <c r="V17" s="255"/>
      <c r="W17" s="256"/>
      <c r="X17" s="198"/>
      <c r="Y17" s="199"/>
      <c r="Z17" s="187"/>
      <c r="AA17" s="188"/>
      <c r="AB17" s="189"/>
      <c r="AC17" s="187"/>
      <c r="AD17" s="189"/>
      <c r="AE17" s="163"/>
      <c r="AF17" s="164"/>
      <c r="AG17" s="164"/>
      <c r="AH17" s="164"/>
      <c r="AI17" s="164"/>
      <c r="AJ17" s="164"/>
      <c r="AK17" s="165"/>
      <c r="AL17" s="73"/>
    </row>
    <row r="18" spans="1:38" s="51" customFormat="1" ht="13.5" customHeight="1">
      <c r="A18" s="50"/>
      <c r="B18" s="54"/>
      <c r="C18" s="55" t="s">
        <v>60</v>
      </c>
      <c r="D18" s="56"/>
      <c r="E18" s="56"/>
      <c r="F18" s="56"/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101" t="s">
        <v>61</v>
      </c>
      <c r="R18" s="58"/>
      <c r="S18" s="58"/>
      <c r="T18" s="58"/>
      <c r="U18" s="58"/>
      <c r="V18" s="58"/>
      <c r="W18" s="58"/>
      <c r="X18" s="59"/>
      <c r="Y18" s="59"/>
      <c r="Z18" s="59"/>
      <c r="AA18" s="59"/>
      <c r="AB18" s="59"/>
      <c r="AC18" s="59"/>
      <c r="AD18" s="59"/>
      <c r="AE18" s="57"/>
      <c r="AF18" s="60"/>
      <c r="AG18" s="60"/>
      <c r="AH18" s="60"/>
      <c r="AI18" s="60"/>
      <c r="AJ18" s="60"/>
      <c r="AK18" s="61"/>
      <c r="AL18" s="52"/>
    </row>
    <row r="19" spans="1:38" s="48" customFormat="1" ht="13.5" customHeight="1">
      <c r="A19" s="72"/>
      <c r="B19" s="142">
        <v>1</v>
      </c>
      <c r="C19" s="220" t="str">
        <f>"項目"&amp;DBCS(B19)&amp;"名称"</f>
        <v>項目１名称</v>
      </c>
      <c r="D19" s="221"/>
      <c r="E19" s="221"/>
      <c r="F19" s="221"/>
      <c r="G19" s="222"/>
      <c r="H19" s="226" t="s">
        <v>62</v>
      </c>
      <c r="I19" s="227"/>
      <c r="J19" s="227"/>
      <c r="K19" s="227"/>
      <c r="L19" s="227"/>
      <c r="M19" s="227"/>
      <c r="N19" s="227"/>
      <c r="O19" s="227"/>
      <c r="P19" s="228"/>
      <c r="Q19" s="190" t="s">
        <v>152</v>
      </c>
      <c r="R19" s="191"/>
      <c r="S19" s="191"/>
      <c r="T19" s="191"/>
      <c r="U19" s="191"/>
      <c r="V19" s="191"/>
      <c r="W19" s="192"/>
      <c r="X19" s="232" t="s">
        <v>41</v>
      </c>
      <c r="Y19" s="233"/>
      <c r="Z19" s="236" t="s">
        <v>143</v>
      </c>
      <c r="AA19" s="237"/>
      <c r="AB19" s="238"/>
      <c r="AC19" s="236" t="s">
        <v>143</v>
      </c>
      <c r="AD19" s="238"/>
      <c r="AE19" s="242"/>
      <c r="AF19" s="243"/>
      <c r="AG19" s="243"/>
      <c r="AH19" s="243"/>
      <c r="AI19" s="243"/>
      <c r="AJ19" s="243"/>
      <c r="AK19" s="244"/>
      <c r="AL19" s="73"/>
    </row>
    <row r="20" spans="1:38" s="48" customFormat="1" ht="13.5" customHeight="1">
      <c r="A20" s="72"/>
      <c r="B20" s="143"/>
      <c r="C20" s="223"/>
      <c r="D20" s="224"/>
      <c r="E20" s="224"/>
      <c r="F20" s="224"/>
      <c r="G20" s="225"/>
      <c r="H20" s="229"/>
      <c r="I20" s="230"/>
      <c r="J20" s="230"/>
      <c r="K20" s="230"/>
      <c r="L20" s="230"/>
      <c r="M20" s="230"/>
      <c r="N20" s="230"/>
      <c r="O20" s="230"/>
      <c r="P20" s="231"/>
      <c r="Q20" s="193"/>
      <c r="R20" s="194"/>
      <c r="S20" s="194"/>
      <c r="T20" s="194"/>
      <c r="U20" s="194"/>
      <c r="V20" s="194"/>
      <c r="W20" s="195"/>
      <c r="X20" s="234"/>
      <c r="Y20" s="235"/>
      <c r="Z20" s="239"/>
      <c r="AA20" s="240"/>
      <c r="AB20" s="241"/>
      <c r="AC20" s="239"/>
      <c r="AD20" s="241"/>
      <c r="AE20" s="245"/>
      <c r="AF20" s="246"/>
      <c r="AG20" s="246"/>
      <c r="AH20" s="246"/>
      <c r="AI20" s="246"/>
      <c r="AJ20" s="246"/>
      <c r="AK20" s="247"/>
      <c r="AL20" s="73"/>
    </row>
    <row r="21" spans="1:38" s="48" customFormat="1" ht="13.5" customHeight="1">
      <c r="A21" s="72"/>
      <c r="B21" s="63">
        <v>2</v>
      </c>
      <c r="C21" s="166" t="str">
        <f>"項目"&amp;DBCS(B21)&amp;"名称"</f>
        <v>項目２名称</v>
      </c>
      <c r="D21" s="167"/>
      <c r="E21" s="167"/>
      <c r="F21" s="167"/>
      <c r="G21" s="168"/>
      <c r="H21" s="172" t="s">
        <v>62</v>
      </c>
      <c r="I21" s="173"/>
      <c r="J21" s="173"/>
      <c r="K21" s="173"/>
      <c r="L21" s="173"/>
      <c r="M21" s="173"/>
      <c r="N21" s="173"/>
      <c r="O21" s="173"/>
      <c r="P21" s="174"/>
      <c r="Q21" s="190" t="s">
        <v>153</v>
      </c>
      <c r="R21" s="191"/>
      <c r="S21" s="191"/>
      <c r="T21" s="191"/>
      <c r="U21" s="191"/>
      <c r="V21" s="191"/>
      <c r="W21" s="192"/>
      <c r="X21" s="196" t="s">
        <v>139</v>
      </c>
      <c r="Y21" s="197"/>
      <c r="Z21" s="184" t="s">
        <v>143</v>
      </c>
      <c r="AA21" s="185"/>
      <c r="AB21" s="186"/>
      <c r="AC21" s="184" t="s">
        <v>143</v>
      </c>
      <c r="AD21" s="186"/>
      <c r="AE21" s="160"/>
      <c r="AF21" s="161"/>
      <c r="AG21" s="161"/>
      <c r="AH21" s="161"/>
      <c r="AI21" s="161"/>
      <c r="AJ21" s="161"/>
      <c r="AK21" s="162"/>
      <c r="AL21" s="73"/>
    </row>
    <row r="22" spans="1:38" s="48" customFormat="1" ht="13.5" customHeight="1">
      <c r="A22" s="72"/>
      <c r="B22" s="64"/>
      <c r="C22" s="169"/>
      <c r="D22" s="170"/>
      <c r="E22" s="170"/>
      <c r="F22" s="170"/>
      <c r="G22" s="171"/>
      <c r="H22" s="175"/>
      <c r="I22" s="176"/>
      <c r="J22" s="176"/>
      <c r="K22" s="176"/>
      <c r="L22" s="176"/>
      <c r="M22" s="176"/>
      <c r="N22" s="176"/>
      <c r="O22" s="176"/>
      <c r="P22" s="177"/>
      <c r="Q22" s="193"/>
      <c r="R22" s="194"/>
      <c r="S22" s="194"/>
      <c r="T22" s="194"/>
      <c r="U22" s="194"/>
      <c r="V22" s="194"/>
      <c r="W22" s="195"/>
      <c r="X22" s="198"/>
      <c r="Y22" s="199"/>
      <c r="Z22" s="187"/>
      <c r="AA22" s="188"/>
      <c r="AB22" s="189"/>
      <c r="AC22" s="187"/>
      <c r="AD22" s="189"/>
      <c r="AE22" s="163"/>
      <c r="AF22" s="164"/>
      <c r="AG22" s="164"/>
      <c r="AH22" s="164"/>
      <c r="AI22" s="164"/>
      <c r="AJ22" s="164"/>
      <c r="AK22" s="165"/>
      <c r="AL22" s="73"/>
    </row>
    <row r="23" spans="1:38" s="48" customFormat="1" ht="13.5" customHeight="1">
      <c r="A23" s="72"/>
      <c r="B23" s="63">
        <f>B21+1</f>
        <v>3</v>
      </c>
      <c r="C23" s="166" t="str">
        <f>"項目"&amp;DBCS(B23)&amp;"名称"</f>
        <v>項目３名称</v>
      </c>
      <c r="D23" s="167"/>
      <c r="E23" s="167"/>
      <c r="F23" s="167"/>
      <c r="G23" s="168"/>
      <c r="H23" s="172" t="s">
        <v>62</v>
      </c>
      <c r="I23" s="173"/>
      <c r="J23" s="173"/>
      <c r="K23" s="173"/>
      <c r="L23" s="173"/>
      <c r="M23" s="173"/>
      <c r="N23" s="173"/>
      <c r="O23" s="173"/>
      <c r="P23" s="174"/>
      <c r="Q23" s="190" t="s">
        <v>156</v>
      </c>
      <c r="R23" s="191"/>
      <c r="S23" s="191"/>
      <c r="T23" s="191"/>
      <c r="U23" s="191"/>
      <c r="V23" s="191"/>
      <c r="W23" s="192"/>
      <c r="X23" s="196" t="s">
        <v>139</v>
      </c>
      <c r="Y23" s="197"/>
      <c r="Z23" s="184" t="s">
        <v>143</v>
      </c>
      <c r="AA23" s="185"/>
      <c r="AB23" s="186"/>
      <c r="AC23" s="184" t="s">
        <v>143</v>
      </c>
      <c r="AD23" s="186"/>
      <c r="AE23" s="160"/>
      <c r="AF23" s="161"/>
      <c r="AG23" s="161"/>
      <c r="AH23" s="161"/>
      <c r="AI23" s="161"/>
      <c r="AJ23" s="161"/>
      <c r="AK23" s="162"/>
      <c r="AL23" s="73"/>
    </row>
    <row r="24" spans="1:38" s="48" customFormat="1" ht="13.5" customHeight="1">
      <c r="A24" s="72"/>
      <c r="B24" s="64"/>
      <c r="C24" s="169"/>
      <c r="D24" s="170"/>
      <c r="E24" s="170"/>
      <c r="F24" s="170"/>
      <c r="G24" s="171"/>
      <c r="H24" s="175"/>
      <c r="I24" s="176"/>
      <c r="J24" s="176"/>
      <c r="K24" s="176"/>
      <c r="L24" s="176"/>
      <c r="M24" s="176"/>
      <c r="N24" s="176"/>
      <c r="O24" s="176"/>
      <c r="P24" s="177"/>
      <c r="Q24" s="193"/>
      <c r="R24" s="194"/>
      <c r="S24" s="194"/>
      <c r="T24" s="194"/>
      <c r="U24" s="194"/>
      <c r="V24" s="194"/>
      <c r="W24" s="195"/>
      <c r="X24" s="198"/>
      <c r="Y24" s="199"/>
      <c r="Z24" s="187"/>
      <c r="AA24" s="188"/>
      <c r="AB24" s="189"/>
      <c r="AC24" s="187"/>
      <c r="AD24" s="189"/>
      <c r="AE24" s="163"/>
      <c r="AF24" s="164"/>
      <c r="AG24" s="164"/>
      <c r="AH24" s="164"/>
      <c r="AI24" s="164"/>
      <c r="AJ24" s="164"/>
      <c r="AK24" s="165"/>
      <c r="AL24" s="73"/>
    </row>
    <row r="25" spans="1:38" s="48" customFormat="1" ht="13.5" customHeight="1">
      <c r="A25" s="72"/>
      <c r="B25" s="63">
        <f>B23+1</f>
        <v>4</v>
      </c>
      <c r="C25" s="166" t="str">
        <f>"項目"&amp;DBCS(B25)&amp;"名称"</f>
        <v>項目４名称</v>
      </c>
      <c r="D25" s="167"/>
      <c r="E25" s="167"/>
      <c r="F25" s="167"/>
      <c r="G25" s="168"/>
      <c r="H25" s="172" t="s">
        <v>62</v>
      </c>
      <c r="I25" s="173"/>
      <c r="J25" s="173"/>
      <c r="K25" s="173"/>
      <c r="L25" s="173"/>
      <c r="M25" s="173"/>
      <c r="N25" s="173"/>
      <c r="O25" s="173"/>
      <c r="P25" s="174"/>
      <c r="Q25" s="190" t="s">
        <v>154</v>
      </c>
      <c r="R25" s="191"/>
      <c r="S25" s="191"/>
      <c r="T25" s="191"/>
      <c r="U25" s="191"/>
      <c r="V25" s="191"/>
      <c r="W25" s="192"/>
      <c r="X25" s="196" t="s">
        <v>41</v>
      </c>
      <c r="Y25" s="197"/>
      <c r="Z25" s="184" t="s">
        <v>45</v>
      </c>
      <c r="AA25" s="185"/>
      <c r="AB25" s="186"/>
      <c r="AC25" s="184" t="s">
        <v>45</v>
      </c>
      <c r="AD25" s="186"/>
      <c r="AE25" s="160"/>
      <c r="AF25" s="161"/>
      <c r="AG25" s="161"/>
      <c r="AH25" s="161"/>
      <c r="AI25" s="161"/>
      <c r="AJ25" s="161"/>
      <c r="AK25" s="162"/>
      <c r="AL25" s="73"/>
    </row>
    <row r="26" spans="1:38" s="48" customFormat="1" ht="13.5" customHeight="1">
      <c r="A26" s="72"/>
      <c r="B26" s="64"/>
      <c r="C26" s="169"/>
      <c r="D26" s="170"/>
      <c r="E26" s="170"/>
      <c r="F26" s="170"/>
      <c r="G26" s="171"/>
      <c r="H26" s="175"/>
      <c r="I26" s="176"/>
      <c r="J26" s="176"/>
      <c r="K26" s="176"/>
      <c r="L26" s="176"/>
      <c r="M26" s="176"/>
      <c r="N26" s="176"/>
      <c r="O26" s="176"/>
      <c r="P26" s="177"/>
      <c r="Q26" s="193"/>
      <c r="R26" s="194"/>
      <c r="S26" s="194"/>
      <c r="T26" s="194"/>
      <c r="U26" s="194"/>
      <c r="V26" s="194"/>
      <c r="W26" s="195"/>
      <c r="X26" s="198"/>
      <c r="Y26" s="199"/>
      <c r="Z26" s="187"/>
      <c r="AA26" s="188"/>
      <c r="AB26" s="189"/>
      <c r="AC26" s="187"/>
      <c r="AD26" s="189"/>
      <c r="AE26" s="163"/>
      <c r="AF26" s="164"/>
      <c r="AG26" s="164"/>
      <c r="AH26" s="164"/>
      <c r="AI26" s="164"/>
      <c r="AJ26" s="164"/>
      <c r="AK26" s="165"/>
      <c r="AL26" s="73"/>
    </row>
    <row r="27" spans="1:38" s="48" customFormat="1" ht="13.5" customHeight="1">
      <c r="A27" s="72"/>
      <c r="B27" s="63">
        <f>B25+1</f>
        <v>5</v>
      </c>
      <c r="C27" s="166" t="str">
        <f>"項目"&amp;DBCS(B27)&amp;"名称"</f>
        <v>項目５名称</v>
      </c>
      <c r="D27" s="167"/>
      <c r="E27" s="167"/>
      <c r="F27" s="167"/>
      <c r="G27" s="168"/>
      <c r="H27" s="172" t="s">
        <v>62</v>
      </c>
      <c r="I27" s="173"/>
      <c r="J27" s="173"/>
      <c r="K27" s="173"/>
      <c r="L27" s="173"/>
      <c r="M27" s="173"/>
      <c r="N27" s="173"/>
      <c r="O27" s="173"/>
      <c r="P27" s="174"/>
      <c r="Q27" s="190" t="s">
        <v>155</v>
      </c>
      <c r="R27" s="191"/>
      <c r="S27" s="191"/>
      <c r="T27" s="191"/>
      <c r="U27" s="191"/>
      <c r="V27" s="191"/>
      <c r="W27" s="192"/>
      <c r="X27" s="200" t="s">
        <v>41</v>
      </c>
      <c r="Y27" s="197"/>
      <c r="Z27" s="184" t="s">
        <v>45</v>
      </c>
      <c r="AA27" s="185"/>
      <c r="AB27" s="186"/>
      <c r="AC27" s="184" t="s">
        <v>45</v>
      </c>
      <c r="AD27" s="186"/>
      <c r="AE27" s="160"/>
      <c r="AF27" s="161"/>
      <c r="AG27" s="161"/>
      <c r="AH27" s="161"/>
      <c r="AI27" s="161"/>
      <c r="AJ27" s="161"/>
      <c r="AK27" s="162"/>
      <c r="AL27" s="73"/>
    </row>
    <row r="28" spans="1:38" s="48" customFormat="1" ht="13.5" customHeight="1">
      <c r="A28" s="72"/>
      <c r="B28" s="64"/>
      <c r="C28" s="169"/>
      <c r="D28" s="170"/>
      <c r="E28" s="170"/>
      <c r="F28" s="170"/>
      <c r="G28" s="171"/>
      <c r="H28" s="175"/>
      <c r="I28" s="176"/>
      <c r="J28" s="176"/>
      <c r="K28" s="176"/>
      <c r="L28" s="176"/>
      <c r="M28" s="176"/>
      <c r="N28" s="176"/>
      <c r="O28" s="176"/>
      <c r="P28" s="177"/>
      <c r="Q28" s="193"/>
      <c r="R28" s="194"/>
      <c r="S28" s="194"/>
      <c r="T28" s="194"/>
      <c r="U28" s="194"/>
      <c r="V28" s="194"/>
      <c r="W28" s="195"/>
      <c r="X28" s="198"/>
      <c r="Y28" s="199"/>
      <c r="Z28" s="187"/>
      <c r="AA28" s="188"/>
      <c r="AB28" s="189"/>
      <c r="AC28" s="187"/>
      <c r="AD28" s="189"/>
      <c r="AE28" s="163"/>
      <c r="AF28" s="164"/>
      <c r="AG28" s="164"/>
      <c r="AH28" s="164"/>
      <c r="AI28" s="164"/>
      <c r="AJ28" s="164"/>
      <c r="AK28" s="165"/>
      <c r="AL28" s="73"/>
    </row>
    <row r="29" spans="1:38" s="48" customFormat="1" ht="13.5" customHeight="1">
      <c r="A29" s="72"/>
      <c r="B29" s="63">
        <f t="shared" ref="B29" si="2">B27+1</f>
        <v>6</v>
      </c>
      <c r="C29" s="166" t="str">
        <f>"項目"&amp;DBCS(B29)&amp;"名称"</f>
        <v>項目６名称</v>
      </c>
      <c r="D29" s="167"/>
      <c r="E29" s="167"/>
      <c r="F29" s="167"/>
      <c r="G29" s="168"/>
      <c r="H29" s="172" t="s">
        <v>62</v>
      </c>
      <c r="I29" s="173"/>
      <c r="J29" s="173"/>
      <c r="K29" s="173"/>
      <c r="L29" s="173"/>
      <c r="M29" s="173"/>
      <c r="N29" s="173"/>
      <c r="O29" s="173"/>
      <c r="P29" s="174"/>
      <c r="Q29" s="178" t="s">
        <v>78</v>
      </c>
      <c r="R29" s="179"/>
      <c r="S29" s="179"/>
      <c r="T29" s="179"/>
      <c r="U29" s="179"/>
      <c r="V29" s="179"/>
      <c r="W29" s="180"/>
      <c r="X29" s="200" t="s">
        <v>41</v>
      </c>
      <c r="Y29" s="197"/>
      <c r="Z29" s="184" t="s">
        <v>45</v>
      </c>
      <c r="AA29" s="185"/>
      <c r="AB29" s="186"/>
      <c r="AC29" s="184" t="s">
        <v>45</v>
      </c>
      <c r="AD29" s="186"/>
      <c r="AE29" s="160"/>
      <c r="AF29" s="161"/>
      <c r="AG29" s="161"/>
      <c r="AH29" s="161"/>
      <c r="AI29" s="161"/>
      <c r="AJ29" s="161"/>
      <c r="AK29" s="162"/>
      <c r="AL29" s="73"/>
    </row>
    <row r="30" spans="1:38" s="48" customFormat="1" ht="13.5" customHeight="1">
      <c r="A30" s="72"/>
      <c r="B30" s="64"/>
      <c r="C30" s="169"/>
      <c r="D30" s="170"/>
      <c r="E30" s="170"/>
      <c r="F30" s="170"/>
      <c r="G30" s="171"/>
      <c r="H30" s="175"/>
      <c r="I30" s="176"/>
      <c r="J30" s="176"/>
      <c r="K30" s="176"/>
      <c r="L30" s="176"/>
      <c r="M30" s="176"/>
      <c r="N30" s="176"/>
      <c r="O30" s="176"/>
      <c r="P30" s="177"/>
      <c r="Q30" s="181"/>
      <c r="R30" s="182"/>
      <c r="S30" s="182"/>
      <c r="T30" s="182"/>
      <c r="U30" s="182"/>
      <c r="V30" s="182"/>
      <c r="W30" s="183"/>
      <c r="X30" s="198"/>
      <c r="Y30" s="199"/>
      <c r="Z30" s="187"/>
      <c r="AA30" s="188"/>
      <c r="AB30" s="189"/>
      <c r="AC30" s="187"/>
      <c r="AD30" s="189"/>
      <c r="AE30" s="163"/>
      <c r="AF30" s="164"/>
      <c r="AG30" s="164"/>
      <c r="AH30" s="164"/>
      <c r="AI30" s="164"/>
      <c r="AJ30" s="164"/>
      <c r="AK30" s="165"/>
      <c r="AL30" s="73"/>
    </row>
    <row r="31" spans="1:38" s="48" customFormat="1" ht="13.5" customHeight="1">
      <c r="A31" s="72"/>
      <c r="B31" s="63">
        <f t="shared" ref="B31" si="3">B29+1</f>
        <v>7</v>
      </c>
      <c r="C31" s="166" t="str">
        <f>"項目"&amp;DBCS(B31)&amp;"名称"</f>
        <v>項目７名称</v>
      </c>
      <c r="D31" s="167"/>
      <c r="E31" s="167"/>
      <c r="F31" s="167"/>
      <c r="G31" s="168"/>
      <c r="H31" s="172" t="s">
        <v>62</v>
      </c>
      <c r="I31" s="173"/>
      <c r="J31" s="173"/>
      <c r="K31" s="173"/>
      <c r="L31" s="173"/>
      <c r="M31" s="173"/>
      <c r="N31" s="173"/>
      <c r="O31" s="173"/>
      <c r="P31" s="174"/>
      <c r="Q31" s="178" t="s">
        <v>79</v>
      </c>
      <c r="R31" s="179"/>
      <c r="S31" s="179"/>
      <c r="T31" s="179"/>
      <c r="U31" s="179"/>
      <c r="V31" s="179"/>
      <c r="W31" s="180"/>
      <c r="X31" s="200" t="s">
        <v>41</v>
      </c>
      <c r="Y31" s="197"/>
      <c r="Z31" s="184" t="s">
        <v>45</v>
      </c>
      <c r="AA31" s="185"/>
      <c r="AB31" s="186"/>
      <c r="AC31" s="184" t="s">
        <v>45</v>
      </c>
      <c r="AD31" s="186"/>
      <c r="AE31" s="160"/>
      <c r="AF31" s="161"/>
      <c r="AG31" s="161"/>
      <c r="AH31" s="161"/>
      <c r="AI31" s="161"/>
      <c r="AJ31" s="161"/>
      <c r="AK31" s="162"/>
      <c r="AL31" s="73"/>
    </row>
    <row r="32" spans="1:38" s="48" customFormat="1" ht="13.5" customHeight="1">
      <c r="A32" s="72"/>
      <c r="B32" s="64"/>
      <c r="C32" s="169"/>
      <c r="D32" s="170"/>
      <c r="E32" s="170"/>
      <c r="F32" s="170"/>
      <c r="G32" s="171"/>
      <c r="H32" s="175"/>
      <c r="I32" s="176"/>
      <c r="J32" s="176"/>
      <c r="K32" s="176"/>
      <c r="L32" s="176"/>
      <c r="M32" s="176"/>
      <c r="N32" s="176"/>
      <c r="O32" s="176"/>
      <c r="P32" s="177"/>
      <c r="Q32" s="181"/>
      <c r="R32" s="182"/>
      <c r="S32" s="182"/>
      <c r="T32" s="182"/>
      <c r="U32" s="182"/>
      <c r="V32" s="182"/>
      <c r="W32" s="183"/>
      <c r="X32" s="198"/>
      <c r="Y32" s="199"/>
      <c r="Z32" s="187"/>
      <c r="AA32" s="188"/>
      <c r="AB32" s="189"/>
      <c r="AC32" s="187"/>
      <c r="AD32" s="189"/>
      <c r="AE32" s="163"/>
      <c r="AF32" s="164"/>
      <c r="AG32" s="164"/>
      <c r="AH32" s="164"/>
      <c r="AI32" s="164"/>
      <c r="AJ32" s="164"/>
      <c r="AK32" s="165"/>
      <c r="AL32" s="73"/>
    </row>
    <row r="33" spans="1:38" s="48" customFormat="1" ht="13.5" customHeight="1">
      <c r="A33" s="72"/>
      <c r="B33" s="63">
        <f t="shared" ref="B33" si="4">B31+1</f>
        <v>8</v>
      </c>
      <c r="C33" s="166" t="str">
        <f>"項目"&amp;DBCS(B33)&amp;"名称"</f>
        <v>項目８名称</v>
      </c>
      <c r="D33" s="167"/>
      <c r="E33" s="167"/>
      <c r="F33" s="167"/>
      <c r="G33" s="168"/>
      <c r="H33" s="172" t="s">
        <v>62</v>
      </c>
      <c r="I33" s="173"/>
      <c r="J33" s="173"/>
      <c r="K33" s="173"/>
      <c r="L33" s="173"/>
      <c r="M33" s="173"/>
      <c r="N33" s="173"/>
      <c r="O33" s="173"/>
      <c r="P33" s="174"/>
      <c r="Q33" s="178" t="s">
        <v>80</v>
      </c>
      <c r="R33" s="179"/>
      <c r="S33" s="179"/>
      <c r="T33" s="179"/>
      <c r="U33" s="179"/>
      <c r="V33" s="179"/>
      <c r="W33" s="180"/>
      <c r="X33" s="200" t="s">
        <v>41</v>
      </c>
      <c r="Y33" s="197"/>
      <c r="Z33" s="184" t="s">
        <v>45</v>
      </c>
      <c r="AA33" s="185"/>
      <c r="AB33" s="186"/>
      <c r="AC33" s="184" t="s">
        <v>45</v>
      </c>
      <c r="AD33" s="186"/>
      <c r="AE33" s="160"/>
      <c r="AF33" s="161"/>
      <c r="AG33" s="161"/>
      <c r="AH33" s="161"/>
      <c r="AI33" s="161"/>
      <c r="AJ33" s="161"/>
      <c r="AK33" s="162"/>
      <c r="AL33" s="73"/>
    </row>
    <row r="34" spans="1:38" s="48" customFormat="1" ht="13.5" customHeight="1">
      <c r="A34" s="72"/>
      <c r="B34" s="64"/>
      <c r="C34" s="169"/>
      <c r="D34" s="170"/>
      <c r="E34" s="170"/>
      <c r="F34" s="170"/>
      <c r="G34" s="171"/>
      <c r="H34" s="175"/>
      <c r="I34" s="176"/>
      <c r="J34" s="176"/>
      <c r="K34" s="176"/>
      <c r="L34" s="176"/>
      <c r="M34" s="176"/>
      <c r="N34" s="176"/>
      <c r="O34" s="176"/>
      <c r="P34" s="177"/>
      <c r="Q34" s="181"/>
      <c r="R34" s="182"/>
      <c r="S34" s="182"/>
      <c r="T34" s="182"/>
      <c r="U34" s="182"/>
      <c r="V34" s="182"/>
      <c r="W34" s="183"/>
      <c r="X34" s="198"/>
      <c r="Y34" s="199"/>
      <c r="Z34" s="187"/>
      <c r="AA34" s="188"/>
      <c r="AB34" s="189"/>
      <c r="AC34" s="187"/>
      <c r="AD34" s="189"/>
      <c r="AE34" s="163"/>
      <c r="AF34" s="164"/>
      <c r="AG34" s="164"/>
      <c r="AH34" s="164"/>
      <c r="AI34" s="164"/>
      <c r="AJ34" s="164"/>
      <c r="AK34" s="165"/>
      <c r="AL34" s="73"/>
    </row>
    <row r="35" spans="1:38" s="48" customFormat="1" ht="13.5" customHeight="1">
      <c r="A35" s="72"/>
      <c r="B35" s="63">
        <f t="shared" ref="B35" si="5">B33+1</f>
        <v>9</v>
      </c>
      <c r="C35" s="166" t="str">
        <f>"項目"&amp;DBCS(B35)&amp;"名称"</f>
        <v>項目９名称</v>
      </c>
      <c r="D35" s="167"/>
      <c r="E35" s="167"/>
      <c r="F35" s="167"/>
      <c r="G35" s="168"/>
      <c r="H35" s="172" t="s">
        <v>62</v>
      </c>
      <c r="I35" s="173"/>
      <c r="J35" s="173"/>
      <c r="K35" s="173"/>
      <c r="L35" s="173"/>
      <c r="M35" s="173"/>
      <c r="N35" s="173"/>
      <c r="O35" s="173"/>
      <c r="P35" s="174"/>
      <c r="Q35" s="178" t="s">
        <v>81</v>
      </c>
      <c r="R35" s="179"/>
      <c r="S35" s="179"/>
      <c r="T35" s="179"/>
      <c r="U35" s="179"/>
      <c r="V35" s="179"/>
      <c r="W35" s="180"/>
      <c r="X35" s="200" t="s">
        <v>41</v>
      </c>
      <c r="Y35" s="197"/>
      <c r="Z35" s="184" t="s">
        <v>45</v>
      </c>
      <c r="AA35" s="185"/>
      <c r="AB35" s="186"/>
      <c r="AC35" s="184" t="s">
        <v>45</v>
      </c>
      <c r="AD35" s="186"/>
      <c r="AE35" s="160"/>
      <c r="AF35" s="161"/>
      <c r="AG35" s="161"/>
      <c r="AH35" s="161"/>
      <c r="AI35" s="161"/>
      <c r="AJ35" s="161"/>
      <c r="AK35" s="162"/>
      <c r="AL35" s="73"/>
    </row>
    <row r="36" spans="1:38" s="48" customFormat="1" ht="13.5" customHeight="1">
      <c r="A36" s="72"/>
      <c r="B36" s="64"/>
      <c r="C36" s="169"/>
      <c r="D36" s="170"/>
      <c r="E36" s="170"/>
      <c r="F36" s="170"/>
      <c r="G36" s="171"/>
      <c r="H36" s="175"/>
      <c r="I36" s="176"/>
      <c r="J36" s="176"/>
      <c r="K36" s="176"/>
      <c r="L36" s="176"/>
      <c r="M36" s="176"/>
      <c r="N36" s="176"/>
      <c r="O36" s="176"/>
      <c r="P36" s="177"/>
      <c r="Q36" s="181"/>
      <c r="R36" s="182"/>
      <c r="S36" s="182"/>
      <c r="T36" s="182"/>
      <c r="U36" s="182"/>
      <c r="V36" s="182"/>
      <c r="W36" s="183"/>
      <c r="X36" s="198"/>
      <c r="Y36" s="199"/>
      <c r="Z36" s="187"/>
      <c r="AA36" s="188"/>
      <c r="AB36" s="189"/>
      <c r="AC36" s="187"/>
      <c r="AD36" s="189"/>
      <c r="AE36" s="163"/>
      <c r="AF36" s="164"/>
      <c r="AG36" s="164"/>
      <c r="AH36" s="164"/>
      <c r="AI36" s="164"/>
      <c r="AJ36" s="164"/>
      <c r="AK36" s="165"/>
      <c r="AL36" s="73"/>
    </row>
    <row r="37" spans="1:38" s="48" customFormat="1" ht="13.5" customHeight="1">
      <c r="A37" s="72"/>
      <c r="B37" s="63">
        <f t="shared" ref="B37" si="6">B35+1</f>
        <v>10</v>
      </c>
      <c r="C37" s="166" t="str">
        <f>"項目"&amp;DBCS(B37)&amp;"名称"</f>
        <v>項目１０名称</v>
      </c>
      <c r="D37" s="167"/>
      <c r="E37" s="167"/>
      <c r="F37" s="167"/>
      <c r="G37" s="168"/>
      <c r="H37" s="172" t="s">
        <v>62</v>
      </c>
      <c r="I37" s="173"/>
      <c r="J37" s="173"/>
      <c r="K37" s="173"/>
      <c r="L37" s="173"/>
      <c r="M37" s="173"/>
      <c r="N37" s="173"/>
      <c r="O37" s="173"/>
      <c r="P37" s="174"/>
      <c r="Q37" s="178" t="s">
        <v>82</v>
      </c>
      <c r="R37" s="179"/>
      <c r="S37" s="179"/>
      <c r="T37" s="179"/>
      <c r="U37" s="179"/>
      <c r="V37" s="179"/>
      <c r="W37" s="180"/>
      <c r="X37" s="200" t="s">
        <v>41</v>
      </c>
      <c r="Y37" s="197"/>
      <c r="Z37" s="184" t="s">
        <v>45</v>
      </c>
      <c r="AA37" s="185"/>
      <c r="AB37" s="186"/>
      <c r="AC37" s="184" t="s">
        <v>45</v>
      </c>
      <c r="AD37" s="186"/>
      <c r="AE37" s="160"/>
      <c r="AF37" s="161"/>
      <c r="AG37" s="161"/>
      <c r="AH37" s="161"/>
      <c r="AI37" s="161"/>
      <c r="AJ37" s="161"/>
      <c r="AK37" s="162"/>
      <c r="AL37" s="73"/>
    </row>
    <row r="38" spans="1:38" s="48" customFormat="1" ht="13.5" customHeight="1">
      <c r="A38" s="72"/>
      <c r="B38" s="64"/>
      <c r="C38" s="169"/>
      <c r="D38" s="170"/>
      <c r="E38" s="170"/>
      <c r="F38" s="170"/>
      <c r="G38" s="171"/>
      <c r="H38" s="175"/>
      <c r="I38" s="176"/>
      <c r="J38" s="176"/>
      <c r="K38" s="176"/>
      <c r="L38" s="176"/>
      <c r="M38" s="176"/>
      <c r="N38" s="176"/>
      <c r="O38" s="176"/>
      <c r="P38" s="177"/>
      <c r="Q38" s="181"/>
      <c r="R38" s="182"/>
      <c r="S38" s="182"/>
      <c r="T38" s="182"/>
      <c r="U38" s="182"/>
      <c r="V38" s="182"/>
      <c r="W38" s="183"/>
      <c r="X38" s="198"/>
      <c r="Y38" s="199"/>
      <c r="Z38" s="187"/>
      <c r="AA38" s="188"/>
      <c r="AB38" s="189"/>
      <c r="AC38" s="187"/>
      <c r="AD38" s="189"/>
      <c r="AE38" s="163"/>
      <c r="AF38" s="164"/>
      <c r="AG38" s="164"/>
      <c r="AH38" s="164"/>
      <c r="AI38" s="164"/>
      <c r="AJ38" s="164"/>
      <c r="AK38" s="165"/>
      <c r="AL38" s="73"/>
    </row>
    <row r="39" spans="1:38" s="48" customFormat="1" ht="13.5" customHeight="1">
      <c r="A39" s="72"/>
      <c r="B39" s="89"/>
      <c r="C39" s="90"/>
      <c r="D39" s="90"/>
      <c r="E39" s="90"/>
      <c r="F39" s="90"/>
      <c r="G39" s="90"/>
      <c r="H39" s="81"/>
      <c r="I39" s="79"/>
      <c r="J39" s="79"/>
      <c r="K39" s="79"/>
      <c r="L39" s="79"/>
      <c r="M39" s="79"/>
      <c r="N39" s="79"/>
      <c r="O39" s="79"/>
      <c r="P39" s="79"/>
      <c r="Q39" s="83"/>
      <c r="R39" s="83"/>
      <c r="S39" s="83"/>
      <c r="T39" s="83"/>
      <c r="U39" s="83"/>
      <c r="V39" s="83"/>
      <c r="W39" s="83"/>
      <c r="X39" s="84"/>
      <c r="Y39" s="84"/>
      <c r="Z39" s="80"/>
      <c r="AA39" s="80"/>
      <c r="AB39" s="80"/>
      <c r="AC39" s="80"/>
      <c r="AD39" s="80"/>
      <c r="AE39" s="81"/>
      <c r="AF39" s="81"/>
      <c r="AG39" s="81"/>
      <c r="AH39" s="81"/>
      <c r="AI39" s="81"/>
      <c r="AJ39" s="81"/>
      <c r="AK39" s="81"/>
      <c r="AL39" s="73"/>
    </row>
    <row r="40" spans="1:38" s="48" customFormat="1" ht="13.5" customHeight="1">
      <c r="A40" s="82"/>
      <c r="B40" s="109"/>
      <c r="C40" s="88"/>
      <c r="D40" s="88"/>
      <c r="E40" s="88"/>
      <c r="F40" s="88"/>
      <c r="G40" s="88"/>
      <c r="H40" s="117"/>
      <c r="I40" s="111"/>
      <c r="J40" s="111"/>
      <c r="K40" s="111"/>
      <c r="L40" s="111"/>
      <c r="M40" s="111"/>
      <c r="N40" s="111"/>
      <c r="O40" s="111"/>
      <c r="P40" s="111"/>
      <c r="Q40" s="113"/>
      <c r="R40" s="113"/>
      <c r="S40" s="113"/>
      <c r="T40" s="113"/>
      <c r="U40" s="113"/>
      <c r="V40" s="113"/>
      <c r="W40" s="113"/>
      <c r="X40" s="102"/>
      <c r="Y40" s="102"/>
      <c r="Z40" s="115"/>
      <c r="AA40" s="115"/>
      <c r="AB40" s="115"/>
      <c r="AC40" s="115"/>
      <c r="AD40" s="115"/>
      <c r="AE40" s="117"/>
      <c r="AF40" s="117"/>
      <c r="AG40" s="117"/>
      <c r="AH40" s="117"/>
      <c r="AI40" s="117"/>
      <c r="AJ40" s="117"/>
      <c r="AK40" s="117"/>
      <c r="AL40" s="86"/>
    </row>
    <row r="41" spans="1:38" s="48" customFormat="1" ht="13.5" customHeight="1">
      <c r="A41" s="103"/>
      <c r="B41" s="104"/>
      <c r="C41" s="87"/>
      <c r="D41" s="87"/>
      <c r="E41" s="87"/>
      <c r="F41" s="87"/>
      <c r="G41" s="87"/>
      <c r="H41" s="116"/>
      <c r="I41" s="110"/>
      <c r="J41" s="110"/>
      <c r="K41" s="110"/>
      <c r="L41" s="110"/>
      <c r="M41" s="110"/>
      <c r="N41" s="110"/>
      <c r="O41" s="110"/>
      <c r="P41" s="110"/>
      <c r="Q41" s="112"/>
      <c r="R41" s="112"/>
      <c r="S41" s="112"/>
      <c r="T41" s="112"/>
      <c r="U41" s="112"/>
      <c r="V41" s="112"/>
      <c r="W41" s="112"/>
      <c r="X41" s="105"/>
      <c r="Y41" s="105"/>
      <c r="Z41" s="114"/>
      <c r="AA41" s="114"/>
      <c r="AB41" s="114"/>
      <c r="AC41" s="114"/>
      <c r="AD41" s="114"/>
      <c r="AE41" s="116"/>
      <c r="AF41" s="116"/>
      <c r="AG41" s="116"/>
      <c r="AH41" s="116"/>
      <c r="AI41" s="116"/>
      <c r="AJ41" s="116"/>
      <c r="AK41" s="116"/>
      <c r="AL41" s="91"/>
    </row>
    <row r="42" spans="1:38" s="40" customFormat="1" ht="13.5" customHeight="1">
      <c r="A42" s="67"/>
      <c r="B42" s="41" t="s">
        <v>112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68"/>
    </row>
    <row r="43" spans="1:38" s="40" customFormat="1" ht="13.5" customHeight="1">
      <c r="A43" s="6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68"/>
    </row>
    <row r="44" spans="1:38" s="40" customFormat="1" ht="13.5" customHeight="1">
      <c r="A44" s="67"/>
      <c r="B44" s="42" t="s">
        <v>30</v>
      </c>
      <c r="C44" s="43" t="s">
        <v>7</v>
      </c>
      <c r="D44" s="44"/>
      <c r="E44" s="45"/>
      <c r="F44" s="45"/>
      <c r="G44" s="46"/>
      <c r="H44" s="44" t="s">
        <v>21</v>
      </c>
      <c r="I44" s="45"/>
      <c r="J44" s="45"/>
      <c r="K44" s="45"/>
      <c r="L44" s="45"/>
      <c r="M44" s="45"/>
      <c r="N44" s="45"/>
      <c r="O44" s="45"/>
      <c r="P44" s="46"/>
      <c r="Q44" s="44" t="s">
        <v>31</v>
      </c>
      <c r="R44" s="45"/>
      <c r="S44" s="45"/>
      <c r="T44" s="45"/>
      <c r="U44" s="45"/>
      <c r="V44" s="46"/>
      <c r="W44" s="46"/>
      <c r="X44" s="44" t="s">
        <v>32</v>
      </c>
      <c r="Y44" s="46"/>
      <c r="Z44" s="44" t="s">
        <v>22</v>
      </c>
      <c r="AA44" s="46"/>
      <c r="AB44" s="44"/>
      <c r="AC44" s="44" t="s">
        <v>33</v>
      </c>
      <c r="AD44" s="47"/>
      <c r="AE44" s="47" t="s">
        <v>37</v>
      </c>
      <c r="AF44" s="45"/>
      <c r="AG44" s="45"/>
      <c r="AH44" s="45"/>
      <c r="AI44" s="45"/>
      <c r="AJ44" s="45"/>
      <c r="AK44" s="46"/>
      <c r="AL44" s="68"/>
    </row>
    <row r="45" spans="1:38" s="48" customFormat="1" ht="13.5" customHeight="1">
      <c r="A45" s="72"/>
      <c r="B45" s="63">
        <f>B37+1</f>
        <v>11</v>
      </c>
      <c r="C45" s="166" t="str">
        <f>"項目"&amp;DBCS(B45)&amp;"名称"</f>
        <v>項目１１名称</v>
      </c>
      <c r="D45" s="167"/>
      <c r="E45" s="167"/>
      <c r="F45" s="167"/>
      <c r="G45" s="168"/>
      <c r="H45" s="172" t="s">
        <v>62</v>
      </c>
      <c r="I45" s="173"/>
      <c r="J45" s="173"/>
      <c r="K45" s="173"/>
      <c r="L45" s="173"/>
      <c r="M45" s="173"/>
      <c r="N45" s="173"/>
      <c r="O45" s="173"/>
      <c r="P45" s="174"/>
      <c r="Q45" s="178" t="s">
        <v>83</v>
      </c>
      <c r="R45" s="179"/>
      <c r="S45" s="179"/>
      <c r="T45" s="179"/>
      <c r="U45" s="179"/>
      <c r="V45" s="179"/>
      <c r="W45" s="180"/>
      <c r="X45" s="200" t="s">
        <v>41</v>
      </c>
      <c r="Y45" s="197"/>
      <c r="Z45" s="184" t="s">
        <v>45</v>
      </c>
      <c r="AA45" s="185"/>
      <c r="AB45" s="186"/>
      <c r="AC45" s="184" t="s">
        <v>45</v>
      </c>
      <c r="AD45" s="186"/>
      <c r="AE45" s="160"/>
      <c r="AF45" s="161"/>
      <c r="AG45" s="161"/>
      <c r="AH45" s="161"/>
      <c r="AI45" s="161"/>
      <c r="AJ45" s="161"/>
      <c r="AK45" s="162"/>
      <c r="AL45" s="73"/>
    </row>
    <row r="46" spans="1:38" s="48" customFormat="1" ht="13.5" customHeight="1">
      <c r="A46" s="72"/>
      <c r="B46" s="64"/>
      <c r="C46" s="169"/>
      <c r="D46" s="170"/>
      <c r="E46" s="170"/>
      <c r="F46" s="170"/>
      <c r="G46" s="171"/>
      <c r="H46" s="175"/>
      <c r="I46" s="176"/>
      <c r="J46" s="176"/>
      <c r="K46" s="176"/>
      <c r="L46" s="176"/>
      <c r="M46" s="176"/>
      <c r="N46" s="176"/>
      <c r="O46" s="176"/>
      <c r="P46" s="177"/>
      <c r="Q46" s="181"/>
      <c r="R46" s="182"/>
      <c r="S46" s="182"/>
      <c r="T46" s="182"/>
      <c r="U46" s="182"/>
      <c r="V46" s="182"/>
      <c r="W46" s="183"/>
      <c r="X46" s="198"/>
      <c r="Y46" s="199"/>
      <c r="Z46" s="187"/>
      <c r="AA46" s="188"/>
      <c r="AB46" s="189"/>
      <c r="AC46" s="187"/>
      <c r="AD46" s="189"/>
      <c r="AE46" s="163"/>
      <c r="AF46" s="164"/>
      <c r="AG46" s="164"/>
      <c r="AH46" s="164"/>
      <c r="AI46" s="164"/>
      <c r="AJ46" s="164"/>
      <c r="AK46" s="165"/>
      <c r="AL46" s="73"/>
    </row>
    <row r="47" spans="1:38" s="48" customFormat="1" ht="13.5" customHeight="1">
      <c r="A47" s="72"/>
      <c r="B47" s="63">
        <f>B45+1</f>
        <v>12</v>
      </c>
      <c r="C47" s="166" t="str">
        <f>"項目"&amp;DBCS(B47)&amp;"名称"</f>
        <v>項目１２名称</v>
      </c>
      <c r="D47" s="167"/>
      <c r="E47" s="167"/>
      <c r="F47" s="167"/>
      <c r="G47" s="168"/>
      <c r="H47" s="172" t="s">
        <v>62</v>
      </c>
      <c r="I47" s="173"/>
      <c r="J47" s="173"/>
      <c r="K47" s="173"/>
      <c r="L47" s="173"/>
      <c r="M47" s="173"/>
      <c r="N47" s="173"/>
      <c r="O47" s="173"/>
      <c r="P47" s="174"/>
      <c r="Q47" s="178" t="s">
        <v>84</v>
      </c>
      <c r="R47" s="179"/>
      <c r="S47" s="179"/>
      <c r="T47" s="179"/>
      <c r="U47" s="179"/>
      <c r="V47" s="179"/>
      <c r="W47" s="180"/>
      <c r="X47" s="200" t="s">
        <v>41</v>
      </c>
      <c r="Y47" s="197"/>
      <c r="Z47" s="184" t="s">
        <v>29</v>
      </c>
      <c r="AA47" s="185"/>
      <c r="AB47" s="186"/>
      <c r="AC47" s="184" t="s">
        <v>29</v>
      </c>
      <c r="AD47" s="186"/>
      <c r="AE47" s="160"/>
      <c r="AF47" s="161"/>
      <c r="AG47" s="161"/>
      <c r="AH47" s="161"/>
      <c r="AI47" s="161"/>
      <c r="AJ47" s="161"/>
      <c r="AK47" s="162"/>
      <c r="AL47" s="73"/>
    </row>
    <row r="48" spans="1:38" s="48" customFormat="1" ht="13.5" customHeight="1">
      <c r="A48" s="72"/>
      <c r="B48" s="64"/>
      <c r="C48" s="169"/>
      <c r="D48" s="170"/>
      <c r="E48" s="170"/>
      <c r="F48" s="170"/>
      <c r="G48" s="171"/>
      <c r="H48" s="175"/>
      <c r="I48" s="176"/>
      <c r="J48" s="176"/>
      <c r="K48" s="176"/>
      <c r="L48" s="176"/>
      <c r="M48" s="176"/>
      <c r="N48" s="176"/>
      <c r="O48" s="176"/>
      <c r="P48" s="177"/>
      <c r="Q48" s="181"/>
      <c r="R48" s="182"/>
      <c r="S48" s="182"/>
      <c r="T48" s="182"/>
      <c r="U48" s="182"/>
      <c r="V48" s="182"/>
      <c r="W48" s="183"/>
      <c r="X48" s="198"/>
      <c r="Y48" s="199"/>
      <c r="Z48" s="187"/>
      <c r="AA48" s="188"/>
      <c r="AB48" s="189"/>
      <c r="AC48" s="187"/>
      <c r="AD48" s="189"/>
      <c r="AE48" s="163"/>
      <c r="AF48" s="164"/>
      <c r="AG48" s="164"/>
      <c r="AH48" s="164"/>
      <c r="AI48" s="164"/>
      <c r="AJ48" s="164"/>
      <c r="AK48" s="165"/>
      <c r="AL48" s="73"/>
    </row>
    <row r="49" spans="1:38" s="48" customFormat="1" ht="13.5" customHeight="1">
      <c r="A49" s="72"/>
      <c r="B49" s="63">
        <f>B47+1</f>
        <v>13</v>
      </c>
      <c r="C49" s="166" t="str">
        <f>"項目"&amp;DBCS(B49)&amp;"名称"</f>
        <v>項目１３名称</v>
      </c>
      <c r="D49" s="167"/>
      <c r="E49" s="167"/>
      <c r="F49" s="167"/>
      <c r="G49" s="168"/>
      <c r="H49" s="172" t="s">
        <v>62</v>
      </c>
      <c r="I49" s="173"/>
      <c r="J49" s="173"/>
      <c r="K49" s="173"/>
      <c r="L49" s="173"/>
      <c r="M49" s="173"/>
      <c r="N49" s="173"/>
      <c r="O49" s="173"/>
      <c r="P49" s="174"/>
      <c r="Q49" s="178" t="s">
        <v>85</v>
      </c>
      <c r="R49" s="179"/>
      <c r="S49" s="179"/>
      <c r="T49" s="179"/>
      <c r="U49" s="179"/>
      <c r="V49" s="179"/>
      <c r="W49" s="180"/>
      <c r="X49" s="200" t="s">
        <v>41</v>
      </c>
      <c r="Y49" s="197"/>
      <c r="Z49" s="184" t="s">
        <v>45</v>
      </c>
      <c r="AA49" s="185"/>
      <c r="AB49" s="186"/>
      <c r="AC49" s="184" t="s">
        <v>45</v>
      </c>
      <c r="AD49" s="186"/>
      <c r="AE49" s="160"/>
      <c r="AF49" s="161"/>
      <c r="AG49" s="161"/>
      <c r="AH49" s="161"/>
      <c r="AI49" s="161"/>
      <c r="AJ49" s="161"/>
      <c r="AK49" s="162"/>
      <c r="AL49" s="73"/>
    </row>
    <row r="50" spans="1:38" s="48" customFormat="1" ht="13.5" customHeight="1">
      <c r="A50" s="72"/>
      <c r="B50" s="64"/>
      <c r="C50" s="169"/>
      <c r="D50" s="170"/>
      <c r="E50" s="170"/>
      <c r="F50" s="170"/>
      <c r="G50" s="171"/>
      <c r="H50" s="175"/>
      <c r="I50" s="176"/>
      <c r="J50" s="176"/>
      <c r="K50" s="176"/>
      <c r="L50" s="176"/>
      <c r="M50" s="176"/>
      <c r="N50" s="176"/>
      <c r="O50" s="176"/>
      <c r="P50" s="177"/>
      <c r="Q50" s="181"/>
      <c r="R50" s="182"/>
      <c r="S50" s="182"/>
      <c r="T50" s="182"/>
      <c r="U50" s="182"/>
      <c r="V50" s="182"/>
      <c r="W50" s="183"/>
      <c r="X50" s="198"/>
      <c r="Y50" s="199"/>
      <c r="Z50" s="187"/>
      <c r="AA50" s="188"/>
      <c r="AB50" s="189"/>
      <c r="AC50" s="187"/>
      <c r="AD50" s="189"/>
      <c r="AE50" s="163"/>
      <c r="AF50" s="164"/>
      <c r="AG50" s="164"/>
      <c r="AH50" s="164"/>
      <c r="AI50" s="164"/>
      <c r="AJ50" s="164"/>
      <c r="AK50" s="165"/>
      <c r="AL50" s="73"/>
    </row>
    <row r="51" spans="1:38" s="48" customFormat="1" ht="13.5" customHeight="1">
      <c r="A51" s="72"/>
      <c r="B51" s="63">
        <f t="shared" ref="B51" si="7">B49+1</f>
        <v>14</v>
      </c>
      <c r="C51" s="166" t="str">
        <f>"項目"&amp;DBCS(B51)&amp;"名称"</f>
        <v>項目１４名称</v>
      </c>
      <c r="D51" s="167"/>
      <c r="E51" s="167"/>
      <c r="F51" s="167"/>
      <c r="G51" s="168"/>
      <c r="H51" s="172" t="s">
        <v>62</v>
      </c>
      <c r="I51" s="173"/>
      <c r="J51" s="173"/>
      <c r="K51" s="173"/>
      <c r="L51" s="173"/>
      <c r="M51" s="173"/>
      <c r="N51" s="173"/>
      <c r="O51" s="173"/>
      <c r="P51" s="174"/>
      <c r="Q51" s="178" t="s">
        <v>136</v>
      </c>
      <c r="R51" s="179"/>
      <c r="S51" s="179"/>
      <c r="T51" s="179"/>
      <c r="U51" s="179"/>
      <c r="V51" s="179"/>
      <c r="W51" s="180"/>
      <c r="X51" s="200" t="s">
        <v>41</v>
      </c>
      <c r="Y51" s="197"/>
      <c r="Z51" s="184" t="s">
        <v>45</v>
      </c>
      <c r="AA51" s="185"/>
      <c r="AB51" s="186"/>
      <c r="AC51" s="184" t="s">
        <v>45</v>
      </c>
      <c r="AD51" s="186"/>
      <c r="AE51" s="160"/>
      <c r="AF51" s="161"/>
      <c r="AG51" s="161"/>
      <c r="AH51" s="161"/>
      <c r="AI51" s="161"/>
      <c r="AJ51" s="161"/>
      <c r="AK51" s="162"/>
      <c r="AL51" s="73"/>
    </row>
    <row r="52" spans="1:38" s="48" customFormat="1" ht="13.5" customHeight="1">
      <c r="A52" s="72"/>
      <c r="B52" s="64"/>
      <c r="C52" s="169"/>
      <c r="D52" s="170"/>
      <c r="E52" s="170"/>
      <c r="F52" s="170"/>
      <c r="G52" s="171"/>
      <c r="H52" s="175"/>
      <c r="I52" s="176"/>
      <c r="J52" s="176"/>
      <c r="K52" s="176"/>
      <c r="L52" s="176"/>
      <c r="M52" s="176"/>
      <c r="N52" s="176"/>
      <c r="O52" s="176"/>
      <c r="P52" s="177"/>
      <c r="Q52" s="181"/>
      <c r="R52" s="182"/>
      <c r="S52" s="182"/>
      <c r="T52" s="182"/>
      <c r="U52" s="182"/>
      <c r="V52" s="182"/>
      <c r="W52" s="183"/>
      <c r="X52" s="198"/>
      <c r="Y52" s="199"/>
      <c r="Z52" s="187"/>
      <c r="AA52" s="188"/>
      <c r="AB52" s="189"/>
      <c r="AC52" s="187"/>
      <c r="AD52" s="189"/>
      <c r="AE52" s="163"/>
      <c r="AF52" s="164"/>
      <c r="AG52" s="164"/>
      <c r="AH52" s="164"/>
      <c r="AI52" s="164"/>
      <c r="AJ52" s="164"/>
      <c r="AK52" s="165"/>
      <c r="AL52" s="73"/>
    </row>
    <row r="53" spans="1:38" s="48" customFormat="1" ht="13.5" customHeight="1">
      <c r="A53" s="72"/>
      <c r="B53" s="63">
        <f t="shared" ref="B53" si="8">B51+1</f>
        <v>15</v>
      </c>
      <c r="C53" s="166" t="str">
        <f>"項目"&amp;DBCS(B53)&amp;"名称"</f>
        <v>項目１５名称</v>
      </c>
      <c r="D53" s="167"/>
      <c r="E53" s="167"/>
      <c r="F53" s="167"/>
      <c r="G53" s="168"/>
      <c r="H53" s="172" t="s">
        <v>62</v>
      </c>
      <c r="I53" s="173"/>
      <c r="J53" s="173"/>
      <c r="K53" s="173"/>
      <c r="L53" s="173"/>
      <c r="M53" s="173"/>
      <c r="N53" s="173"/>
      <c r="O53" s="173"/>
      <c r="P53" s="174"/>
      <c r="Q53" s="178" t="s">
        <v>86</v>
      </c>
      <c r="R53" s="179"/>
      <c r="S53" s="179"/>
      <c r="T53" s="179"/>
      <c r="U53" s="179"/>
      <c r="V53" s="179"/>
      <c r="W53" s="180"/>
      <c r="X53" s="200" t="s">
        <v>41</v>
      </c>
      <c r="Y53" s="197"/>
      <c r="Z53" s="184" t="s">
        <v>45</v>
      </c>
      <c r="AA53" s="185"/>
      <c r="AB53" s="186"/>
      <c r="AC53" s="184" t="s">
        <v>45</v>
      </c>
      <c r="AD53" s="186"/>
      <c r="AE53" s="160"/>
      <c r="AF53" s="161"/>
      <c r="AG53" s="161"/>
      <c r="AH53" s="161"/>
      <c r="AI53" s="161"/>
      <c r="AJ53" s="161"/>
      <c r="AK53" s="162"/>
      <c r="AL53" s="73"/>
    </row>
    <row r="54" spans="1:38" s="48" customFormat="1" ht="13.5" customHeight="1">
      <c r="A54" s="72"/>
      <c r="B54" s="64"/>
      <c r="C54" s="169"/>
      <c r="D54" s="170"/>
      <c r="E54" s="170"/>
      <c r="F54" s="170"/>
      <c r="G54" s="171"/>
      <c r="H54" s="175"/>
      <c r="I54" s="176"/>
      <c r="J54" s="176"/>
      <c r="K54" s="176"/>
      <c r="L54" s="176"/>
      <c r="M54" s="176"/>
      <c r="N54" s="176"/>
      <c r="O54" s="176"/>
      <c r="P54" s="177"/>
      <c r="Q54" s="181"/>
      <c r="R54" s="182"/>
      <c r="S54" s="182"/>
      <c r="T54" s="182"/>
      <c r="U54" s="182"/>
      <c r="V54" s="182"/>
      <c r="W54" s="183"/>
      <c r="X54" s="198"/>
      <c r="Y54" s="199"/>
      <c r="Z54" s="187"/>
      <c r="AA54" s="188"/>
      <c r="AB54" s="189"/>
      <c r="AC54" s="187"/>
      <c r="AD54" s="189"/>
      <c r="AE54" s="163"/>
      <c r="AF54" s="164"/>
      <c r="AG54" s="164"/>
      <c r="AH54" s="164"/>
      <c r="AI54" s="164"/>
      <c r="AJ54" s="164"/>
      <c r="AK54" s="165"/>
      <c r="AL54" s="73"/>
    </row>
    <row r="55" spans="1:38" s="48" customFormat="1" ht="13.5" customHeight="1">
      <c r="A55" s="72"/>
      <c r="B55" s="63">
        <f t="shared" ref="B55" si="9">B53+1</f>
        <v>16</v>
      </c>
      <c r="C55" s="166" t="str">
        <f>"項目"&amp;DBCS(B55)&amp;"名称"</f>
        <v>項目１６名称</v>
      </c>
      <c r="D55" s="167"/>
      <c r="E55" s="167"/>
      <c r="F55" s="167"/>
      <c r="G55" s="168"/>
      <c r="H55" s="172" t="s">
        <v>62</v>
      </c>
      <c r="I55" s="173"/>
      <c r="J55" s="173"/>
      <c r="K55" s="173"/>
      <c r="L55" s="173"/>
      <c r="M55" s="173"/>
      <c r="N55" s="173"/>
      <c r="O55" s="173"/>
      <c r="P55" s="174"/>
      <c r="Q55" s="178" t="s">
        <v>70</v>
      </c>
      <c r="R55" s="179"/>
      <c r="S55" s="179"/>
      <c r="T55" s="179"/>
      <c r="U55" s="179"/>
      <c r="V55" s="179"/>
      <c r="W55" s="180"/>
      <c r="X55" s="200" t="s">
        <v>41</v>
      </c>
      <c r="Y55" s="197"/>
      <c r="Z55" s="184" t="s">
        <v>45</v>
      </c>
      <c r="AA55" s="185"/>
      <c r="AB55" s="186"/>
      <c r="AC55" s="184" t="s">
        <v>45</v>
      </c>
      <c r="AD55" s="186"/>
      <c r="AE55" s="160"/>
      <c r="AF55" s="161"/>
      <c r="AG55" s="161"/>
      <c r="AH55" s="161"/>
      <c r="AI55" s="161"/>
      <c r="AJ55" s="161"/>
      <c r="AK55" s="162"/>
      <c r="AL55" s="73"/>
    </row>
    <row r="56" spans="1:38" s="48" customFormat="1" ht="13.5" customHeight="1">
      <c r="A56" s="72"/>
      <c r="B56" s="64"/>
      <c r="C56" s="169"/>
      <c r="D56" s="170"/>
      <c r="E56" s="170"/>
      <c r="F56" s="170"/>
      <c r="G56" s="171"/>
      <c r="H56" s="175"/>
      <c r="I56" s="176"/>
      <c r="J56" s="176"/>
      <c r="K56" s="176"/>
      <c r="L56" s="176"/>
      <c r="M56" s="176"/>
      <c r="N56" s="176"/>
      <c r="O56" s="176"/>
      <c r="P56" s="177"/>
      <c r="Q56" s="181"/>
      <c r="R56" s="182"/>
      <c r="S56" s="182"/>
      <c r="T56" s="182"/>
      <c r="U56" s="182"/>
      <c r="V56" s="182"/>
      <c r="W56" s="183"/>
      <c r="X56" s="198"/>
      <c r="Y56" s="199"/>
      <c r="Z56" s="187"/>
      <c r="AA56" s="188"/>
      <c r="AB56" s="189"/>
      <c r="AC56" s="187"/>
      <c r="AD56" s="189"/>
      <c r="AE56" s="163"/>
      <c r="AF56" s="164"/>
      <c r="AG56" s="164"/>
      <c r="AH56" s="164"/>
      <c r="AI56" s="164"/>
      <c r="AJ56" s="164"/>
      <c r="AK56" s="165"/>
      <c r="AL56" s="73"/>
    </row>
    <row r="57" spans="1:38" s="48" customFormat="1" ht="13.5" customHeight="1">
      <c r="A57" s="72"/>
      <c r="B57" s="63">
        <f t="shared" ref="B57" si="10">B55+1</f>
        <v>17</v>
      </c>
      <c r="C57" s="166" t="str">
        <f>"項目"&amp;DBCS(B57)&amp;"名称"</f>
        <v>項目１７名称</v>
      </c>
      <c r="D57" s="167"/>
      <c r="E57" s="167"/>
      <c r="F57" s="167"/>
      <c r="G57" s="168"/>
      <c r="H57" s="172" t="s">
        <v>62</v>
      </c>
      <c r="I57" s="173"/>
      <c r="J57" s="173"/>
      <c r="K57" s="173"/>
      <c r="L57" s="173"/>
      <c r="M57" s="173"/>
      <c r="N57" s="173"/>
      <c r="O57" s="173"/>
      <c r="P57" s="174"/>
      <c r="Q57" s="178" t="s">
        <v>71</v>
      </c>
      <c r="R57" s="179"/>
      <c r="S57" s="179"/>
      <c r="T57" s="179"/>
      <c r="U57" s="179"/>
      <c r="V57" s="179"/>
      <c r="W57" s="180"/>
      <c r="X57" s="200" t="s">
        <v>41</v>
      </c>
      <c r="Y57" s="197"/>
      <c r="Z57" s="184" t="s">
        <v>45</v>
      </c>
      <c r="AA57" s="185"/>
      <c r="AB57" s="186"/>
      <c r="AC57" s="184" t="s">
        <v>45</v>
      </c>
      <c r="AD57" s="186"/>
      <c r="AE57" s="160"/>
      <c r="AF57" s="161"/>
      <c r="AG57" s="161"/>
      <c r="AH57" s="161"/>
      <c r="AI57" s="161"/>
      <c r="AJ57" s="161"/>
      <c r="AK57" s="162"/>
      <c r="AL57" s="73"/>
    </row>
    <row r="58" spans="1:38" s="48" customFormat="1" ht="13.5" customHeight="1">
      <c r="A58" s="72"/>
      <c r="B58" s="64"/>
      <c r="C58" s="169"/>
      <c r="D58" s="170"/>
      <c r="E58" s="170"/>
      <c r="F58" s="170"/>
      <c r="G58" s="171"/>
      <c r="H58" s="175"/>
      <c r="I58" s="176"/>
      <c r="J58" s="176"/>
      <c r="K58" s="176"/>
      <c r="L58" s="176"/>
      <c r="M58" s="176"/>
      <c r="N58" s="176"/>
      <c r="O58" s="176"/>
      <c r="P58" s="177"/>
      <c r="Q58" s="181"/>
      <c r="R58" s="182"/>
      <c r="S58" s="182"/>
      <c r="T58" s="182"/>
      <c r="U58" s="182"/>
      <c r="V58" s="182"/>
      <c r="W58" s="183"/>
      <c r="X58" s="198"/>
      <c r="Y58" s="199"/>
      <c r="Z58" s="187"/>
      <c r="AA58" s="188"/>
      <c r="AB58" s="189"/>
      <c r="AC58" s="187"/>
      <c r="AD58" s="189"/>
      <c r="AE58" s="163"/>
      <c r="AF58" s="164"/>
      <c r="AG58" s="164"/>
      <c r="AH58" s="164"/>
      <c r="AI58" s="164"/>
      <c r="AJ58" s="164"/>
      <c r="AK58" s="165"/>
      <c r="AL58" s="73"/>
    </row>
    <row r="59" spans="1:38" s="9" customFormat="1" ht="13.5" customHeight="1">
      <c r="A59" s="74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75"/>
    </row>
    <row r="60" spans="1:38" s="9" customFormat="1" ht="13.5" customHeight="1">
      <c r="A60" s="74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75"/>
    </row>
    <row r="61" spans="1:38" s="9" customFormat="1" ht="13.5" customHeight="1">
      <c r="A61" s="7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75"/>
    </row>
    <row r="62" spans="1:38" s="9" customFormat="1" ht="13.5" customHeight="1">
      <c r="A62" s="74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75"/>
    </row>
    <row r="63" spans="1:38" s="9" customFormat="1" ht="13.5" customHeight="1">
      <c r="A63" s="74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75"/>
    </row>
    <row r="64" spans="1:38" s="9" customFormat="1" ht="13.5" customHeight="1">
      <c r="A64" s="74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75"/>
    </row>
    <row r="65" spans="1:38" s="9" customFormat="1" ht="13.5" customHeight="1">
      <c r="A65" s="74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75"/>
    </row>
    <row r="66" spans="1:38" s="9" customFormat="1" ht="13.5" customHeight="1">
      <c r="A66" s="74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75"/>
    </row>
    <row r="67" spans="1:38" s="9" customFormat="1" ht="13.5" customHeight="1">
      <c r="A67" s="74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75"/>
    </row>
    <row r="68" spans="1:38" s="9" customFormat="1" ht="13.5" customHeight="1">
      <c r="A68" s="74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75"/>
    </row>
    <row r="69" spans="1:38" s="9" customFormat="1" ht="13.5" customHeight="1">
      <c r="A69" s="74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75"/>
    </row>
    <row r="70" spans="1:38" s="9" customFormat="1" ht="13.5" customHeight="1">
      <c r="A70" s="74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75"/>
    </row>
    <row r="71" spans="1:38" s="9" customFormat="1" ht="13.5" customHeight="1">
      <c r="A71" s="74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75"/>
    </row>
    <row r="72" spans="1:38" s="9" customFormat="1" ht="13.5" customHeight="1">
      <c r="A72" s="74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75"/>
    </row>
    <row r="73" spans="1:38" s="9" customFormat="1" ht="13.5" customHeight="1">
      <c r="A73" s="74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75"/>
    </row>
    <row r="74" spans="1:38" s="9" customFormat="1" ht="13.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8"/>
    </row>
    <row r="75" spans="1:38" s="9" customFormat="1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9" customFormat="1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9" customFormat="1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9" customFormat="1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9" customFormat="1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9" customFormat="1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9" customFormat="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9" customFormat="1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9" customFormat="1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9" customFormat="1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9" customFormat="1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s="9" customFormat="1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pans="1:38" s="9" customFormat="1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pans="1:38" s="9" customFormat="1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pans="1:38" s="9" customFormat="1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s="9" customFormat="1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s="9" customFormat="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9" customFormat="1" ht="13.5" customHeight="1"/>
    <row r="93" spans="1:38" s="9" customFormat="1" ht="13.5" customHeight="1"/>
    <row r="94" spans="1:38" s="9" customFormat="1" ht="13.5" customHeight="1"/>
    <row r="95" spans="1:38" s="9" customFormat="1" ht="13.5" customHeight="1"/>
  </sheetData>
  <mergeCells count="152">
    <mergeCell ref="C19:G20"/>
    <mergeCell ref="H19:P20"/>
    <mergeCell ref="Q19:W20"/>
    <mergeCell ref="X19:Y20"/>
    <mergeCell ref="Z19:AB20"/>
    <mergeCell ref="AC19:AD20"/>
    <mergeCell ref="AE19:AK20"/>
    <mergeCell ref="T4:X4"/>
    <mergeCell ref="C14:G15"/>
    <mergeCell ref="H14:P15"/>
    <mergeCell ref="Q14:W15"/>
    <mergeCell ref="X14:Y15"/>
    <mergeCell ref="Z14:AB15"/>
    <mergeCell ref="AC14:AD15"/>
    <mergeCell ref="AE14:AK15"/>
    <mergeCell ref="C16:G17"/>
    <mergeCell ref="H16:P17"/>
    <mergeCell ref="Q16:W17"/>
    <mergeCell ref="X16:Y17"/>
    <mergeCell ref="Z16:AB17"/>
    <mergeCell ref="AC16:AD17"/>
    <mergeCell ref="AE16:AK17"/>
    <mergeCell ref="C10:G11"/>
    <mergeCell ref="H10:P11"/>
    <mergeCell ref="Q10:W11"/>
    <mergeCell ref="X10:Y11"/>
    <mergeCell ref="Z10:AB11"/>
    <mergeCell ref="AC10:AD11"/>
    <mergeCell ref="AE10:AK11"/>
    <mergeCell ref="C12:G13"/>
    <mergeCell ref="H12:P13"/>
    <mergeCell ref="Q12:W13"/>
    <mergeCell ref="X12:Y13"/>
    <mergeCell ref="Z12:AB13"/>
    <mergeCell ref="AC12:AD13"/>
    <mergeCell ref="AE12:AK13"/>
    <mergeCell ref="Z49:AB50"/>
    <mergeCell ref="AC49:AD50"/>
    <mergeCell ref="AE49:AK50"/>
    <mergeCell ref="C29:G30"/>
    <mergeCell ref="H29:P30"/>
    <mergeCell ref="Q29:W30"/>
    <mergeCell ref="X29:Y30"/>
    <mergeCell ref="Z29:AB30"/>
    <mergeCell ref="AE33:AK34"/>
    <mergeCell ref="C35:G36"/>
    <mergeCell ref="H35:P36"/>
    <mergeCell ref="Q35:W36"/>
    <mergeCell ref="X35:Y36"/>
    <mergeCell ref="Z35:AB36"/>
    <mergeCell ref="Q31:W32"/>
    <mergeCell ref="AC57:AD58"/>
    <mergeCell ref="Z57:AB58"/>
    <mergeCell ref="AE37:AK38"/>
    <mergeCell ref="C45:G46"/>
    <mergeCell ref="H45:P46"/>
    <mergeCell ref="Q45:W46"/>
    <mergeCell ref="X45:Y46"/>
    <mergeCell ref="Z45:AB46"/>
    <mergeCell ref="AC45:AD46"/>
    <mergeCell ref="AE45:AK46"/>
    <mergeCell ref="C37:G38"/>
    <mergeCell ref="H37:P38"/>
    <mergeCell ref="Q37:W38"/>
    <mergeCell ref="X37:Y38"/>
    <mergeCell ref="Z37:AB38"/>
    <mergeCell ref="AC37:AD38"/>
    <mergeCell ref="AE57:AK58"/>
    <mergeCell ref="C57:G58"/>
    <mergeCell ref="X51:Y52"/>
    <mergeCell ref="Z51:AB52"/>
    <mergeCell ref="AC51:AD52"/>
    <mergeCell ref="C51:G52"/>
    <mergeCell ref="H51:P52"/>
    <mergeCell ref="C47:G48"/>
    <mergeCell ref="P1:AL1"/>
    <mergeCell ref="P2:AL3"/>
    <mergeCell ref="A2:H3"/>
    <mergeCell ref="I2:O3"/>
    <mergeCell ref="AE51:AK52"/>
    <mergeCell ref="AE53:AK54"/>
    <mergeCell ref="AE55:AK56"/>
    <mergeCell ref="Q33:W34"/>
    <mergeCell ref="X33:Y34"/>
    <mergeCell ref="Z33:AB34"/>
    <mergeCell ref="AC33:AD34"/>
    <mergeCell ref="C53:G54"/>
    <mergeCell ref="H53:P54"/>
    <mergeCell ref="Z23:AB24"/>
    <mergeCell ref="AC23:AD24"/>
    <mergeCell ref="AE23:AK24"/>
    <mergeCell ref="AC35:AD36"/>
    <mergeCell ref="AE35:AK36"/>
    <mergeCell ref="C33:G34"/>
    <mergeCell ref="H33:P34"/>
    <mergeCell ref="X55:Y56"/>
    <mergeCell ref="AC25:AD26"/>
    <mergeCell ref="AE25:AK26"/>
    <mergeCell ref="C27:G28"/>
    <mergeCell ref="Z27:AB28"/>
    <mergeCell ref="AC27:AD28"/>
    <mergeCell ref="AE27:AK28"/>
    <mergeCell ref="C25:G26"/>
    <mergeCell ref="H25:P26"/>
    <mergeCell ref="Q25:W26"/>
    <mergeCell ref="X25:Y26"/>
    <mergeCell ref="Z25:AB26"/>
    <mergeCell ref="AC29:AD30"/>
    <mergeCell ref="AE29:AK30"/>
    <mergeCell ref="H57:P58"/>
    <mergeCell ref="Q53:W54"/>
    <mergeCell ref="X53:Y54"/>
    <mergeCell ref="Q57:W58"/>
    <mergeCell ref="X57:Y58"/>
    <mergeCell ref="C23:G24"/>
    <mergeCell ref="H23:P24"/>
    <mergeCell ref="Q23:W24"/>
    <mergeCell ref="X23:Y24"/>
    <mergeCell ref="X31:Y32"/>
    <mergeCell ref="H27:P28"/>
    <mergeCell ref="Q27:W28"/>
    <mergeCell ref="X27:Y28"/>
    <mergeCell ref="C31:G32"/>
    <mergeCell ref="H31:P32"/>
    <mergeCell ref="C49:G50"/>
    <mergeCell ref="H49:P50"/>
    <mergeCell ref="Q49:W50"/>
    <mergeCell ref="X49:Y50"/>
    <mergeCell ref="AE21:AK22"/>
    <mergeCell ref="C55:G56"/>
    <mergeCell ref="H55:P56"/>
    <mergeCell ref="Q55:W56"/>
    <mergeCell ref="Q51:W52"/>
    <mergeCell ref="Z53:AB54"/>
    <mergeCell ref="AC53:AD54"/>
    <mergeCell ref="AC55:AD56"/>
    <mergeCell ref="C21:G22"/>
    <mergeCell ref="H21:P22"/>
    <mergeCell ref="Q21:W22"/>
    <mergeCell ref="X21:Y22"/>
    <mergeCell ref="Z21:AB22"/>
    <mergeCell ref="AC21:AD22"/>
    <mergeCell ref="H47:P48"/>
    <mergeCell ref="Q47:W48"/>
    <mergeCell ref="X47:Y48"/>
    <mergeCell ref="Z47:AB48"/>
    <mergeCell ref="AC47:AD48"/>
    <mergeCell ref="AE47:AK48"/>
    <mergeCell ref="Z31:AB32"/>
    <mergeCell ref="AC31:AD32"/>
    <mergeCell ref="AE31:AK32"/>
    <mergeCell ref="Z55:AB56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scaleWithDoc="0" alignWithMargins="0">
    <oddFooter>&amp;C5.2.1-&amp;P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11"/>
  <sheetViews>
    <sheetView tabSelected="1" view="pageBreakPreview" zoomScaleNormal="85" zoomScaleSheetLayoutView="100" workbookViewId="0">
      <pane ySplit="4" topLeftCell="A5" activePane="bottomLeft" state="frozen"/>
      <selection activeCell="Q16" sqref="Q16"/>
      <selection pane="bottomLeft" activeCell="AE22" sqref="AE22:AK23"/>
    </sheetView>
  </sheetViews>
  <sheetFormatPr defaultColWidth="3.6640625" defaultRowHeight="13.5" customHeight="1"/>
  <cols>
    <col min="1" max="36" width="3.6640625" style="22"/>
    <col min="37" max="37" width="8.21875" style="22" customWidth="1"/>
    <col min="38" max="16384" width="3.6640625" style="22"/>
  </cols>
  <sheetData>
    <row r="1" spans="1:38" s="1" customFormat="1" ht="13.5" customHeight="1">
      <c r="A1" s="28" t="s">
        <v>5</v>
      </c>
      <c r="B1" s="29"/>
      <c r="C1" s="30"/>
      <c r="D1" s="30"/>
      <c r="E1" s="30"/>
      <c r="F1" s="30"/>
      <c r="G1" s="30"/>
      <c r="H1" s="30"/>
      <c r="I1" s="28" t="s">
        <v>17</v>
      </c>
      <c r="J1" s="30"/>
      <c r="K1" s="30"/>
      <c r="L1" s="30"/>
      <c r="M1" s="30"/>
      <c r="N1" s="30"/>
      <c r="O1" s="30"/>
      <c r="P1" s="151" t="s">
        <v>18</v>
      </c>
      <c r="Q1" s="152"/>
      <c r="R1" s="152"/>
      <c r="S1" s="152"/>
      <c r="T1" s="152"/>
      <c r="U1" s="152"/>
      <c r="V1" s="152"/>
      <c r="W1" s="152"/>
      <c r="X1" s="152"/>
      <c r="Y1" s="152"/>
      <c r="Z1" s="152" t="s">
        <v>19</v>
      </c>
      <c r="AA1" s="152"/>
      <c r="AB1" s="152"/>
      <c r="AC1" s="152" t="s">
        <v>20</v>
      </c>
      <c r="AD1" s="152"/>
      <c r="AE1" s="152"/>
      <c r="AF1" s="152"/>
      <c r="AG1" s="152"/>
      <c r="AH1" s="152"/>
      <c r="AI1" s="152"/>
      <c r="AJ1" s="152"/>
      <c r="AK1" s="152"/>
      <c r="AL1" s="153"/>
    </row>
    <row r="2" spans="1:38" s="1" customFormat="1" ht="13.5" customHeight="1">
      <c r="A2" s="154" t="str">
        <f>目次!D1</f>
        <v>災対用ビル別情報マップ</v>
      </c>
      <c r="B2" s="207"/>
      <c r="C2" s="207"/>
      <c r="D2" s="207"/>
      <c r="E2" s="207"/>
      <c r="F2" s="207"/>
      <c r="G2" s="207"/>
      <c r="H2" s="208"/>
      <c r="I2" s="154" t="str">
        <f>目次!D2</f>
        <v>第５章　ファイル設計</v>
      </c>
      <c r="J2" s="155"/>
      <c r="K2" s="155"/>
      <c r="L2" s="155"/>
      <c r="M2" s="155"/>
      <c r="N2" s="155"/>
      <c r="O2" s="156"/>
      <c r="P2" s="201" t="str">
        <f>目次!A4</f>
        <v>５．２．１　被災状況登録</v>
      </c>
      <c r="Q2" s="202"/>
      <c r="R2" s="202"/>
      <c r="S2" s="202"/>
      <c r="T2" s="202"/>
      <c r="U2" s="202"/>
      <c r="V2" s="202"/>
      <c r="W2" s="202"/>
      <c r="X2" s="202"/>
      <c r="Y2" s="202"/>
      <c r="Z2" s="202" t="s">
        <v>3</v>
      </c>
      <c r="AA2" s="202"/>
      <c r="AB2" s="202"/>
      <c r="AC2" s="202">
        <v>42398</v>
      </c>
      <c r="AD2" s="202"/>
      <c r="AE2" s="202"/>
      <c r="AF2" s="202" t="s">
        <v>2</v>
      </c>
      <c r="AG2" s="202"/>
      <c r="AH2" s="202"/>
      <c r="AI2" s="202" t="s">
        <v>6</v>
      </c>
      <c r="AJ2" s="202"/>
      <c r="AK2" s="202"/>
      <c r="AL2" s="203"/>
    </row>
    <row r="3" spans="1:38" s="1" customFormat="1" ht="13.5" customHeight="1">
      <c r="A3" s="209"/>
      <c r="B3" s="210"/>
      <c r="C3" s="210"/>
      <c r="D3" s="210"/>
      <c r="E3" s="210"/>
      <c r="F3" s="210"/>
      <c r="G3" s="210"/>
      <c r="H3" s="211"/>
      <c r="I3" s="157"/>
      <c r="J3" s="158"/>
      <c r="K3" s="158"/>
      <c r="L3" s="158"/>
      <c r="M3" s="158"/>
      <c r="N3" s="158"/>
      <c r="O3" s="159"/>
      <c r="P3" s="204"/>
      <c r="Q3" s="205"/>
      <c r="R3" s="205"/>
      <c r="S3" s="205"/>
      <c r="T3" s="205"/>
      <c r="U3" s="205"/>
      <c r="V3" s="205"/>
      <c r="W3" s="205"/>
      <c r="X3" s="205"/>
      <c r="Y3" s="205"/>
      <c r="Z3" s="205" t="s">
        <v>8</v>
      </c>
      <c r="AA3" s="205"/>
      <c r="AB3" s="205"/>
      <c r="AC3" s="205"/>
      <c r="AD3" s="205"/>
      <c r="AE3" s="205"/>
      <c r="AF3" s="205" t="s">
        <v>4</v>
      </c>
      <c r="AG3" s="205"/>
      <c r="AH3" s="205"/>
      <c r="AI3" s="205"/>
      <c r="AJ3" s="205"/>
      <c r="AK3" s="205"/>
      <c r="AL3" s="206"/>
    </row>
    <row r="4" spans="1:38" s="1" customFormat="1" ht="13.5" customHeight="1">
      <c r="A4" s="24" t="s">
        <v>26</v>
      </c>
      <c r="B4" s="31"/>
      <c r="C4" s="25"/>
      <c r="D4" s="25"/>
      <c r="E4" s="33" t="str">
        <f>目次!D8</f>
        <v>５．２．１．１　被災状況CSV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24" t="s">
        <v>27</v>
      </c>
      <c r="Q4" s="31"/>
      <c r="R4" s="25"/>
      <c r="S4" s="25"/>
      <c r="T4" s="248" t="s">
        <v>28</v>
      </c>
      <c r="U4" s="249"/>
      <c r="V4" s="249"/>
      <c r="W4" s="249"/>
      <c r="X4" s="250"/>
      <c r="Y4" s="35"/>
      <c r="Z4" s="36"/>
      <c r="AA4" s="36"/>
      <c r="AB4" s="36"/>
      <c r="AC4" s="37"/>
      <c r="AD4" s="37"/>
      <c r="AE4" s="37"/>
      <c r="AF4" s="36"/>
      <c r="AG4" s="36"/>
      <c r="AH4" s="36"/>
      <c r="AI4" s="36"/>
      <c r="AJ4" s="37"/>
      <c r="AK4" s="37"/>
      <c r="AL4" s="38"/>
    </row>
    <row r="5" spans="1:38" s="40" customFormat="1" ht="13.5" customHeight="1">
      <c r="A5" s="65"/>
      <c r="B5" s="39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66"/>
    </row>
    <row r="6" spans="1:38" s="40" customFormat="1" ht="13.5" customHeight="1">
      <c r="A6" s="67"/>
      <c r="B6" s="41" t="s">
        <v>111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68"/>
    </row>
    <row r="7" spans="1:38" s="40" customFormat="1" ht="13.5" customHeight="1">
      <c r="A7" s="67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68"/>
    </row>
    <row r="8" spans="1:38" s="40" customFormat="1" ht="13.5" customHeight="1">
      <c r="A8" s="67"/>
      <c r="B8" s="42" t="s">
        <v>30</v>
      </c>
      <c r="C8" s="43" t="s">
        <v>7</v>
      </c>
      <c r="D8" s="44"/>
      <c r="E8" s="45"/>
      <c r="F8" s="45"/>
      <c r="G8" s="46"/>
      <c r="H8" s="44" t="s">
        <v>21</v>
      </c>
      <c r="I8" s="45"/>
      <c r="J8" s="45"/>
      <c r="K8" s="45"/>
      <c r="L8" s="45"/>
      <c r="M8" s="45"/>
      <c r="N8" s="45"/>
      <c r="O8" s="45"/>
      <c r="P8" s="46"/>
      <c r="Q8" s="44" t="s">
        <v>31</v>
      </c>
      <c r="R8" s="45"/>
      <c r="S8" s="45"/>
      <c r="T8" s="45"/>
      <c r="U8" s="45"/>
      <c r="V8" s="46"/>
      <c r="W8" s="46"/>
      <c r="X8" s="44" t="s">
        <v>32</v>
      </c>
      <c r="Y8" s="46"/>
      <c r="Z8" s="44" t="s">
        <v>22</v>
      </c>
      <c r="AA8" s="46"/>
      <c r="AB8" s="44"/>
      <c r="AC8" s="44" t="s">
        <v>33</v>
      </c>
      <c r="AD8" s="47"/>
      <c r="AE8" s="47" t="s">
        <v>37</v>
      </c>
      <c r="AF8" s="45"/>
      <c r="AG8" s="45"/>
      <c r="AH8" s="45"/>
      <c r="AI8" s="45"/>
      <c r="AJ8" s="45"/>
      <c r="AK8" s="46"/>
      <c r="AL8" s="68"/>
    </row>
    <row r="9" spans="1:38" s="51" customFormat="1" ht="13.5" customHeight="1">
      <c r="A9" s="50"/>
      <c r="B9" s="54"/>
      <c r="C9" s="55" t="s">
        <v>40</v>
      </c>
      <c r="D9" s="56"/>
      <c r="E9" s="56"/>
      <c r="F9" s="56"/>
      <c r="G9" s="56"/>
      <c r="H9" s="57"/>
      <c r="I9" s="57"/>
      <c r="J9" s="57"/>
      <c r="K9" s="57"/>
      <c r="L9" s="57"/>
      <c r="M9" s="57"/>
      <c r="N9" s="57"/>
      <c r="O9" s="57"/>
      <c r="P9" s="57"/>
      <c r="Q9" s="101" t="s">
        <v>48</v>
      </c>
      <c r="R9" s="58"/>
      <c r="S9" s="58"/>
      <c r="T9" s="58"/>
      <c r="U9" s="58"/>
      <c r="V9" s="58"/>
      <c r="W9" s="58"/>
      <c r="X9" s="59"/>
      <c r="Y9" s="59"/>
      <c r="Z9" s="59"/>
      <c r="AA9" s="59"/>
      <c r="AB9" s="59"/>
      <c r="AC9" s="59"/>
      <c r="AD9" s="59"/>
      <c r="AE9" s="57"/>
      <c r="AF9" s="60"/>
      <c r="AG9" s="60"/>
      <c r="AH9" s="60"/>
      <c r="AI9" s="60"/>
      <c r="AJ9" s="60"/>
      <c r="AK9" s="61"/>
      <c r="AL9" s="52"/>
    </row>
    <row r="10" spans="1:38" s="48" customFormat="1" ht="13.5" customHeight="1">
      <c r="A10" s="72"/>
      <c r="B10" s="63">
        <v>1</v>
      </c>
      <c r="C10" s="258" t="s">
        <v>157</v>
      </c>
      <c r="D10" s="259"/>
      <c r="E10" s="259"/>
      <c r="F10" s="259"/>
      <c r="G10" s="260"/>
      <c r="H10" s="172" t="s">
        <v>144</v>
      </c>
      <c r="I10" s="173"/>
      <c r="J10" s="173"/>
      <c r="K10" s="173"/>
      <c r="L10" s="173"/>
      <c r="M10" s="173"/>
      <c r="N10" s="173"/>
      <c r="O10" s="173"/>
      <c r="P10" s="174"/>
      <c r="Q10" s="264" t="s">
        <v>145</v>
      </c>
      <c r="R10" s="252"/>
      <c r="S10" s="252"/>
      <c r="T10" s="252"/>
      <c r="U10" s="252"/>
      <c r="V10" s="252"/>
      <c r="W10" s="253"/>
      <c r="X10" s="200" t="s">
        <v>41</v>
      </c>
      <c r="Y10" s="197"/>
      <c r="Z10" s="257" t="s">
        <v>42</v>
      </c>
      <c r="AA10" s="185"/>
      <c r="AB10" s="186"/>
      <c r="AC10" s="236" t="s">
        <v>52</v>
      </c>
      <c r="AD10" s="238"/>
      <c r="AE10" s="265" t="s">
        <v>146</v>
      </c>
      <c r="AF10" s="161"/>
      <c r="AG10" s="161"/>
      <c r="AH10" s="161"/>
      <c r="AI10" s="161"/>
      <c r="AJ10" s="161"/>
      <c r="AK10" s="162"/>
      <c r="AL10" s="73"/>
    </row>
    <row r="11" spans="1:38" s="48" customFormat="1" ht="13.5" customHeight="1">
      <c r="A11" s="72"/>
      <c r="B11" s="64"/>
      <c r="C11" s="261"/>
      <c r="D11" s="262"/>
      <c r="E11" s="262"/>
      <c r="F11" s="262"/>
      <c r="G11" s="263"/>
      <c r="H11" s="175"/>
      <c r="I11" s="176"/>
      <c r="J11" s="176"/>
      <c r="K11" s="176"/>
      <c r="L11" s="176"/>
      <c r="M11" s="176"/>
      <c r="N11" s="176"/>
      <c r="O11" s="176"/>
      <c r="P11" s="177"/>
      <c r="Q11" s="254"/>
      <c r="R11" s="255"/>
      <c r="S11" s="255"/>
      <c r="T11" s="255"/>
      <c r="U11" s="255"/>
      <c r="V11" s="255"/>
      <c r="W11" s="256"/>
      <c r="X11" s="198"/>
      <c r="Y11" s="199"/>
      <c r="Z11" s="187"/>
      <c r="AA11" s="188"/>
      <c r="AB11" s="189"/>
      <c r="AC11" s="239"/>
      <c r="AD11" s="241"/>
      <c r="AE11" s="163"/>
      <c r="AF11" s="164"/>
      <c r="AG11" s="164"/>
      <c r="AH11" s="164"/>
      <c r="AI11" s="164"/>
      <c r="AJ11" s="164"/>
      <c r="AK11" s="165"/>
      <c r="AL11" s="73"/>
    </row>
    <row r="12" spans="1:38" s="48" customFormat="1" ht="13.5" customHeight="1">
      <c r="A12" s="72"/>
      <c r="B12" s="63">
        <v>2</v>
      </c>
      <c r="C12" s="258" t="s">
        <v>53</v>
      </c>
      <c r="D12" s="259"/>
      <c r="E12" s="259"/>
      <c r="F12" s="259"/>
      <c r="G12" s="260"/>
      <c r="H12" s="172" t="s">
        <v>144</v>
      </c>
      <c r="I12" s="173"/>
      <c r="J12" s="173"/>
      <c r="K12" s="173"/>
      <c r="L12" s="173"/>
      <c r="M12" s="173"/>
      <c r="N12" s="173"/>
      <c r="O12" s="173"/>
      <c r="P12" s="174"/>
      <c r="Q12" s="264" t="s">
        <v>145</v>
      </c>
      <c r="R12" s="252"/>
      <c r="S12" s="252"/>
      <c r="T12" s="252"/>
      <c r="U12" s="252"/>
      <c r="V12" s="252"/>
      <c r="W12" s="253"/>
      <c r="X12" s="200" t="s">
        <v>41</v>
      </c>
      <c r="Y12" s="197"/>
      <c r="Z12" s="257" t="s">
        <v>42</v>
      </c>
      <c r="AA12" s="185"/>
      <c r="AB12" s="186"/>
      <c r="AC12" s="236" t="s">
        <v>52</v>
      </c>
      <c r="AD12" s="238"/>
      <c r="AE12" s="265" t="s">
        <v>146</v>
      </c>
      <c r="AF12" s="161"/>
      <c r="AG12" s="161"/>
      <c r="AH12" s="161"/>
      <c r="AI12" s="161"/>
      <c r="AJ12" s="161"/>
      <c r="AK12" s="162"/>
      <c r="AL12" s="73"/>
    </row>
    <row r="13" spans="1:38" s="48" customFormat="1" ht="13.5" customHeight="1">
      <c r="A13" s="72"/>
      <c r="B13" s="64"/>
      <c r="C13" s="261"/>
      <c r="D13" s="262"/>
      <c r="E13" s="262"/>
      <c r="F13" s="262"/>
      <c r="G13" s="263"/>
      <c r="H13" s="175"/>
      <c r="I13" s="176"/>
      <c r="J13" s="176"/>
      <c r="K13" s="176"/>
      <c r="L13" s="176"/>
      <c r="M13" s="176"/>
      <c r="N13" s="176"/>
      <c r="O13" s="176"/>
      <c r="P13" s="177"/>
      <c r="Q13" s="254"/>
      <c r="R13" s="255"/>
      <c r="S13" s="255"/>
      <c r="T13" s="255"/>
      <c r="U13" s="255"/>
      <c r="V13" s="255"/>
      <c r="W13" s="256"/>
      <c r="X13" s="198"/>
      <c r="Y13" s="199"/>
      <c r="Z13" s="187"/>
      <c r="AA13" s="188"/>
      <c r="AB13" s="189"/>
      <c r="AC13" s="239"/>
      <c r="AD13" s="241"/>
      <c r="AE13" s="163"/>
      <c r="AF13" s="164"/>
      <c r="AG13" s="164"/>
      <c r="AH13" s="164"/>
      <c r="AI13" s="164"/>
      <c r="AJ13" s="164"/>
      <c r="AK13" s="165"/>
      <c r="AL13" s="73"/>
    </row>
    <row r="14" spans="1:38" s="48" customFormat="1" ht="13.5" customHeight="1">
      <c r="A14" s="72"/>
      <c r="B14" s="63">
        <f>B12+1</f>
        <v>3</v>
      </c>
      <c r="C14" s="258" t="s">
        <v>160</v>
      </c>
      <c r="D14" s="259"/>
      <c r="E14" s="259"/>
      <c r="F14" s="259"/>
      <c r="G14" s="260"/>
      <c r="H14" s="172" t="s">
        <v>142</v>
      </c>
      <c r="I14" s="173"/>
      <c r="J14" s="173"/>
      <c r="K14" s="173"/>
      <c r="L14" s="173"/>
      <c r="M14" s="173"/>
      <c r="N14" s="173"/>
      <c r="O14" s="173"/>
      <c r="P14" s="174"/>
      <c r="Q14" s="264" t="s">
        <v>138</v>
      </c>
      <c r="R14" s="252"/>
      <c r="S14" s="252"/>
      <c r="T14" s="252"/>
      <c r="U14" s="252"/>
      <c r="V14" s="252"/>
      <c r="W14" s="253"/>
      <c r="X14" s="200" t="s">
        <v>41</v>
      </c>
      <c r="Y14" s="197"/>
      <c r="Z14" s="257" t="s">
        <v>140</v>
      </c>
      <c r="AA14" s="185"/>
      <c r="AB14" s="186"/>
      <c r="AC14" s="236" t="s">
        <v>161</v>
      </c>
      <c r="AD14" s="238"/>
      <c r="AE14" s="265"/>
      <c r="AF14" s="161"/>
      <c r="AG14" s="161"/>
      <c r="AH14" s="161"/>
      <c r="AI14" s="161"/>
      <c r="AJ14" s="161"/>
      <c r="AK14" s="162"/>
      <c r="AL14" s="73"/>
    </row>
    <row r="15" spans="1:38" s="48" customFormat="1" ht="13.5" customHeight="1">
      <c r="A15" s="72"/>
      <c r="B15" s="64"/>
      <c r="C15" s="261"/>
      <c r="D15" s="262"/>
      <c r="E15" s="262"/>
      <c r="F15" s="262"/>
      <c r="G15" s="263"/>
      <c r="H15" s="175"/>
      <c r="I15" s="176"/>
      <c r="J15" s="176"/>
      <c r="K15" s="176"/>
      <c r="L15" s="176"/>
      <c r="M15" s="176"/>
      <c r="N15" s="176"/>
      <c r="O15" s="176"/>
      <c r="P15" s="177"/>
      <c r="Q15" s="254"/>
      <c r="R15" s="255"/>
      <c r="S15" s="255"/>
      <c r="T15" s="255"/>
      <c r="U15" s="255"/>
      <c r="V15" s="255"/>
      <c r="W15" s="256"/>
      <c r="X15" s="198"/>
      <c r="Y15" s="199"/>
      <c r="Z15" s="187"/>
      <c r="AA15" s="188"/>
      <c r="AB15" s="189"/>
      <c r="AC15" s="239"/>
      <c r="AD15" s="241"/>
      <c r="AE15" s="163"/>
      <c r="AF15" s="164"/>
      <c r="AG15" s="164"/>
      <c r="AH15" s="164"/>
      <c r="AI15" s="164"/>
      <c r="AJ15" s="164"/>
      <c r="AK15" s="165"/>
      <c r="AL15" s="73"/>
    </row>
    <row r="16" spans="1:38" s="48" customFormat="1" ht="13.5" customHeight="1">
      <c r="A16" s="72"/>
      <c r="B16" s="63">
        <f>B14+1</f>
        <v>4</v>
      </c>
      <c r="C16" s="258" t="s">
        <v>158</v>
      </c>
      <c r="D16" s="259"/>
      <c r="E16" s="259"/>
      <c r="F16" s="259"/>
      <c r="G16" s="260"/>
      <c r="H16" s="172" t="s">
        <v>89</v>
      </c>
      <c r="I16" s="173"/>
      <c r="J16" s="173"/>
      <c r="K16" s="173"/>
      <c r="L16" s="173"/>
      <c r="M16" s="173"/>
      <c r="N16" s="173"/>
      <c r="O16" s="173"/>
      <c r="P16" s="174"/>
      <c r="Q16" s="264" t="s">
        <v>51</v>
      </c>
      <c r="R16" s="252"/>
      <c r="S16" s="252"/>
      <c r="T16" s="252"/>
      <c r="U16" s="252"/>
      <c r="V16" s="252"/>
      <c r="W16" s="253"/>
      <c r="X16" s="212" t="s">
        <v>141</v>
      </c>
      <c r="Y16" s="197"/>
      <c r="Z16" s="257" t="s">
        <v>42</v>
      </c>
      <c r="AA16" s="185"/>
      <c r="AB16" s="186"/>
      <c r="AC16" s="236">
        <v>4</v>
      </c>
      <c r="AD16" s="238"/>
      <c r="AE16" s="265"/>
      <c r="AF16" s="161"/>
      <c r="AG16" s="161"/>
      <c r="AH16" s="161"/>
      <c r="AI16" s="161"/>
      <c r="AJ16" s="161"/>
      <c r="AK16" s="162"/>
      <c r="AL16" s="73"/>
    </row>
    <row r="17" spans="1:38" s="48" customFormat="1" ht="13.5" customHeight="1">
      <c r="A17" s="72"/>
      <c r="B17" s="64"/>
      <c r="C17" s="261"/>
      <c r="D17" s="262"/>
      <c r="E17" s="262"/>
      <c r="F17" s="262"/>
      <c r="G17" s="263"/>
      <c r="H17" s="175"/>
      <c r="I17" s="176"/>
      <c r="J17" s="176"/>
      <c r="K17" s="176"/>
      <c r="L17" s="176"/>
      <c r="M17" s="176"/>
      <c r="N17" s="176"/>
      <c r="O17" s="176"/>
      <c r="P17" s="177"/>
      <c r="Q17" s="254"/>
      <c r="R17" s="255"/>
      <c r="S17" s="255"/>
      <c r="T17" s="255"/>
      <c r="U17" s="255"/>
      <c r="V17" s="255"/>
      <c r="W17" s="256"/>
      <c r="X17" s="198"/>
      <c r="Y17" s="199"/>
      <c r="Z17" s="187"/>
      <c r="AA17" s="188"/>
      <c r="AB17" s="189"/>
      <c r="AC17" s="239"/>
      <c r="AD17" s="241"/>
      <c r="AE17" s="163"/>
      <c r="AF17" s="164"/>
      <c r="AG17" s="164"/>
      <c r="AH17" s="164"/>
      <c r="AI17" s="164"/>
      <c r="AJ17" s="164"/>
      <c r="AK17" s="165"/>
      <c r="AL17" s="73"/>
    </row>
    <row r="18" spans="1:38" s="48" customFormat="1" ht="13.5" customHeight="1">
      <c r="A18" s="72"/>
      <c r="B18" s="63">
        <f t="shared" ref="B18" si="0">B16+1</f>
        <v>5</v>
      </c>
      <c r="C18" s="258" t="s">
        <v>159</v>
      </c>
      <c r="D18" s="259"/>
      <c r="E18" s="259"/>
      <c r="F18" s="259"/>
      <c r="G18" s="260"/>
      <c r="H18" s="172" t="s">
        <v>88</v>
      </c>
      <c r="I18" s="173"/>
      <c r="J18" s="173"/>
      <c r="K18" s="173"/>
      <c r="L18" s="173"/>
      <c r="M18" s="173"/>
      <c r="N18" s="173"/>
      <c r="O18" s="173"/>
      <c r="P18" s="174"/>
      <c r="Q18" s="264" t="s">
        <v>51</v>
      </c>
      <c r="R18" s="252"/>
      <c r="S18" s="252"/>
      <c r="T18" s="252"/>
      <c r="U18" s="252"/>
      <c r="V18" s="252"/>
      <c r="W18" s="253"/>
      <c r="X18" s="196" t="s">
        <v>93</v>
      </c>
      <c r="Y18" s="197"/>
      <c r="Z18" s="257" t="s">
        <v>42</v>
      </c>
      <c r="AA18" s="185"/>
      <c r="AB18" s="186"/>
      <c r="AC18" s="236" t="s">
        <v>52</v>
      </c>
      <c r="AD18" s="238"/>
      <c r="AE18" s="242" t="s">
        <v>162</v>
      </c>
      <c r="AF18" s="243"/>
      <c r="AG18" s="243"/>
      <c r="AH18" s="243"/>
      <c r="AI18" s="243"/>
      <c r="AJ18" s="243"/>
      <c r="AK18" s="244"/>
      <c r="AL18" s="73"/>
    </row>
    <row r="19" spans="1:38" s="48" customFormat="1" ht="13.5" customHeight="1">
      <c r="A19" s="72"/>
      <c r="B19" s="64"/>
      <c r="C19" s="261"/>
      <c r="D19" s="262"/>
      <c r="E19" s="262"/>
      <c r="F19" s="262"/>
      <c r="G19" s="263"/>
      <c r="H19" s="175"/>
      <c r="I19" s="176"/>
      <c r="J19" s="176"/>
      <c r="K19" s="176"/>
      <c r="L19" s="176"/>
      <c r="M19" s="176"/>
      <c r="N19" s="176"/>
      <c r="O19" s="176"/>
      <c r="P19" s="177"/>
      <c r="Q19" s="254"/>
      <c r="R19" s="255"/>
      <c r="S19" s="255"/>
      <c r="T19" s="255"/>
      <c r="U19" s="255"/>
      <c r="V19" s="255"/>
      <c r="W19" s="256"/>
      <c r="X19" s="198"/>
      <c r="Y19" s="199"/>
      <c r="Z19" s="187"/>
      <c r="AA19" s="188"/>
      <c r="AB19" s="189"/>
      <c r="AC19" s="239"/>
      <c r="AD19" s="241"/>
      <c r="AE19" s="245"/>
      <c r="AF19" s="246"/>
      <c r="AG19" s="246"/>
      <c r="AH19" s="246"/>
      <c r="AI19" s="246"/>
      <c r="AJ19" s="246"/>
      <c r="AK19" s="247"/>
      <c r="AL19" s="73"/>
    </row>
    <row r="20" spans="1:38" s="48" customFormat="1" ht="13.5" customHeight="1">
      <c r="A20" s="72"/>
      <c r="B20" s="63">
        <f t="shared" ref="B20" si="1">B18+1</f>
        <v>6</v>
      </c>
      <c r="C20" s="213" t="s">
        <v>90</v>
      </c>
      <c r="D20" s="214"/>
      <c r="E20" s="214"/>
      <c r="F20" s="214"/>
      <c r="G20" s="215"/>
      <c r="H20" s="172" t="s">
        <v>91</v>
      </c>
      <c r="I20" s="173"/>
      <c r="J20" s="173"/>
      <c r="K20" s="173"/>
      <c r="L20" s="173"/>
      <c r="M20" s="173"/>
      <c r="N20" s="173"/>
      <c r="O20" s="173"/>
      <c r="P20" s="174"/>
      <c r="Q20" s="178" t="s">
        <v>114</v>
      </c>
      <c r="R20" s="252"/>
      <c r="S20" s="252"/>
      <c r="T20" s="252"/>
      <c r="U20" s="252"/>
      <c r="V20" s="252"/>
      <c r="W20" s="253"/>
      <c r="X20" s="212" t="s">
        <v>29</v>
      </c>
      <c r="Y20" s="197"/>
      <c r="Z20" s="257" t="s">
        <v>49</v>
      </c>
      <c r="AA20" s="185"/>
      <c r="AB20" s="186"/>
      <c r="AC20" s="184" t="s">
        <v>115</v>
      </c>
      <c r="AD20" s="186"/>
      <c r="AE20" s="242" t="s">
        <v>165</v>
      </c>
      <c r="AF20" s="243"/>
      <c r="AG20" s="243"/>
      <c r="AH20" s="243"/>
      <c r="AI20" s="243"/>
      <c r="AJ20" s="243"/>
      <c r="AK20" s="244"/>
      <c r="AL20" s="73"/>
    </row>
    <row r="21" spans="1:38" s="48" customFormat="1" ht="13.5" customHeight="1">
      <c r="A21" s="72"/>
      <c r="B21" s="64"/>
      <c r="C21" s="216"/>
      <c r="D21" s="217"/>
      <c r="E21" s="217"/>
      <c r="F21" s="217"/>
      <c r="G21" s="218"/>
      <c r="H21" s="175"/>
      <c r="I21" s="176"/>
      <c r="J21" s="176"/>
      <c r="K21" s="176"/>
      <c r="L21" s="176"/>
      <c r="M21" s="176"/>
      <c r="N21" s="176"/>
      <c r="O21" s="176"/>
      <c r="P21" s="177"/>
      <c r="Q21" s="254"/>
      <c r="R21" s="255"/>
      <c r="S21" s="255"/>
      <c r="T21" s="255"/>
      <c r="U21" s="255"/>
      <c r="V21" s="255"/>
      <c r="W21" s="256"/>
      <c r="X21" s="198"/>
      <c r="Y21" s="199"/>
      <c r="Z21" s="187"/>
      <c r="AA21" s="188"/>
      <c r="AB21" s="189"/>
      <c r="AC21" s="187"/>
      <c r="AD21" s="189"/>
      <c r="AE21" s="245"/>
      <c r="AF21" s="246"/>
      <c r="AG21" s="246"/>
      <c r="AH21" s="246"/>
      <c r="AI21" s="246"/>
      <c r="AJ21" s="246"/>
      <c r="AK21" s="247"/>
      <c r="AL21" s="73"/>
    </row>
    <row r="22" spans="1:38" s="48" customFormat="1" ht="13.5" customHeight="1">
      <c r="A22" s="72"/>
      <c r="B22" s="63">
        <f t="shared" ref="B22" si="2">B20+1</f>
        <v>7</v>
      </c>
      <c r="C22" s="213" t="s">
        <v>94</v>
      </c>
      <c r="D22" s="214"/>
      <c r="E22" s="214"/>
      <c r="F22" s="214"/>
      <c r="G22" s="215"/>
      <c r="H22" s="172" t="s">
        <v>95</v>
      </c>
      <c r="I22" s="173"/>
      <c r="J22" s="173"/>
      <c r="K22" s="173"/>
      <c r="L22" s="173"/>
      <c r="M22" s="173"/>
      <c r="N22" s="173"/>
      <c r="O22" s="173"/>
      <c r="P22" s="174"/>
      <c r="Q22" s="264" t="s">
        <v>51</v>
      </c>
      <c r="R22" s="252"/>
      <c r="S22" s="252"/>
      <c r="T22" s="252"/>
      <c r="U22" s="252"/>
      <c r="V22" s="252"/>
      <c r="W22" s="253"/>
      <c r="X22" s="212" t="s">
        <v>29</v>
      </c>
      <c r="Y22" s="197"/>
      <c r="Z22" s="257" t="s">
        <v>42</v>
      </c>
      <c r="AA22" s="185"/>
      <c r="AB22" s="186"/>
      <c r="AC22" s="184" t="s">
        <v>58</v>
      </c>
      <c r="AD22" s="186"/>
      <c r="AE22" s="242" t="s">
        <v>166</v>
      </c>
      <c r="AF22" s="243"/>
      <c r="AG22" s="243"/>
      <c r="AH22" s="243"/>
      <c r="AI22" s="243"/>
      <c r="AJ22" s="243"/>
      <c r="AK22" s="244"/>
      <c r="AL22" s="73"/>
    </row>
    <row r="23" spans="1:38" s="48" customFormat="1" ht="13.5" customHeight="1">
      <c r="A23" s="72"/>
      <c r="B23" s="64"/>
      <c r="C23" s="216"/>
      <c r="D23" s="217"/>
      <c r="E23" s="217"/>
      <c r="F23" s="217"/>
      <c r="G23" s="218"/>
      <c r="H23" s="175"/>
      <c r="I23" s="176"/>
      <c r="J23" s="176"/>
      <c r="K23" s="176"/>
      <c r="L23" s="176"/>
      <c r="M23" s="176"/>
      <c r="N23" s="176"/>
      <c r="O23" s="176"/>
      <c r="P23" s="177"/>
      <c r="Q23" s="254"/>
      <c r="R23" s="255"/>
      <c r="S23" s="255"/>
      <c r="T23" s="255"/>
      <c r="U23" s="255"/>
      <c r="V23" s="255"/>
      <c r="W23" s="256"/>
      <c r="X23" s="198"/>
      <c r="Y23" s="199"/>
      <c r="Z23" s="187"/>
      <c r="AA23" s="188"/>
      <c r="AB23" s="189"/>
      <c r="AC23" s="187"/>
      <c r="AD23" s="189"/>
      <c r="AE23" s="245"/>
      <c r="AF23" s="246"/>
      <c r="AG23" s="246"/>
      <c r="AH23" s="246"/>
      <c r="AI23" s="246"/>
      <c r="AJ23" s="246"/>
      <c r="AK23" s="247"/>
      <c r="AL23" s="73"/>
    </row>
    <row r="24" spans="1:38" s="48" customFormat="1" ht="13.5" customHeight="1">
      <c r="A24" s="72"/>
      <c r="B24" s="63">
        <f t="shared" ref="B24" si="3">B22+1</f>
        <v>8</v>
      </c>
      <c r="C24" s="213" t="s">
        <v>96</v>
      </c>
      <c r="D24" s="214"/>
      <c r="E24" s="214"/>
      <c r="F24" s="214"/>
      <c r="G24" s="215"/>
      <c r="H24" s="172" t="s">
        <v>97</v>
      </c>
      <c r="I24" s="173"/>
      <c r="J24" s="173"/>
      <c r="K24" s="173"/>
      <c r="L24" s="173"/>
      <c r="M24" s="173"/>
      <c r="N24" s="173"/>
      <c r="O24" s="173"/>
      <c r="P24" s="174"/>
      <c r="Q24" s="264" t="s">
        <v>51</v>
      </c>
      <c r="R24" s="252"/>
      <c r="S24" s="252"/>
      <c r="T24" s="252"/>
      <c r="U24" s="252"/>
      <c r="V24" s="252"/>
      <c r="W24" s="253"/>
      <c r="X24" s="212" t="s">
        <v>51</v>
      </c>
      <c r="Y24" s="197"/>
      <c r="Z24" s="184" t="s">
        <v>54</v>
      </c>
      <c r="AA24" s="185"/>
      <c r="AB24" s="186"/>
      <c r="AC24" s="184" t="s">
        <v>55</v>
      </c>
      <c r="AD24" s="186"/>
      <c r="AE24" s="265" t="s">
        <v>56</v>
      </c>
      <c r="AF24" s="161"/>
      <c r="AG24" s="161"/>
      <c r="AH24" s="161"/>
      <c r="AI24" s="161"/>
      <c r="AJ24" s="161"/>
      <c r="AK24" s="162"/>
      <c r="AL24" s="73"/>
    </row>
    <row r="25" spans="1:38" s="48" customFormat="1" ht="13.5" customHeight="1">
      <c r="A25" s="72"/>
      <c r="B25" s="64"/>
      <c r="C25" s="216"/>
      <c r="D25" s="217"/>
      <c r="E25" s="217"/>
      <c r="F25" s="217"/>
      <c r="G25" s="218"/>
      <c r="H25" s="175"/>
      <c r="I25" s="176"/>
      <c r="J25" s="176"/>
      <c r="K25" s="176"/>
      <c r="L25" s="176"/>
      <c r="M25" s="176"/>
      <c r="N25" s="176"/>
      <c r="O25" s="176"/>
      <c r="P25" s="177"/>
      <c r="Q25" s="254"/>
      <c r="R25" s="255"/>
      <c r="S25" s="255"/>
      <c r="T25" s="255"/>
      <c r="U25" s="255"/>
      <c r="V25" s="255"/>
      <c r="W25" s="256"/>
      <c r="X25" s="198"/>
      <c r="Y25" s="199"/>
      <c r="Z25" s="187"/>
      <c r="AA25" s="188"/>
      <c r="AB25" s="189"/>
      <c r="AC25" s="187"/>
      <c r="AD25" s="189"/>
      <c r="AE25" s="163"/>
      <c r="AF25" s="164"/>
      <c r="AG25" s="164"/>
      <c r="AH25" s="164"/>
      <c r="AI25" s="164"/>
      <c r="AJ25" s="164"/>
      <c r="AK25" s="165"/>
      <c r="AL25" s="73"/>
    </row>
    <row r="26" spans="1:38" s="48" customFormat="1" ht="13.5" customHeight="1">
      <c r="A26" s="72"/>
      <c r="B26" s="63">
        <f t="shared" ref="B26" si="4">B24+1</f>
        <v>9</v>
      </c>
      <c r="C26" s="213" t="s">
        <v>98</v>
      </c>
      <c r="D26" s="214"/>
      <c r="E26" s="214"/>
      <c r="F26" s="214"/>
      <c r="G26" s="215"/>
      <c r="H26" s="172" t="s">
        <v>99</v>
      </c>
      <c r="I26" s="173"/>
      <c r="J26" s="173"/>
      <c r="K26" s="173"/>
      <c r="L26" s="173"/>
      <c r="M26" s="173"/>
      <c r="N26" s="173"/>
      <c r="O26" s="173"/>
      <c r="P26" s="174"/>
      <c r="Q26" s="219" t="s">
        <v>104</v>
      </c>
      <c r="R26" s="272"/>
      <c r="S26" s="272"/>
      <c r="T26" s="272"/>
      <c r="U26" s="272"/>
      <c r="V26" s="272"/>
      <c r="W26" s="273"/>
      <c r="X26" s="212" t="s">
        <v>92</v>
      </c>
      <c r="Y26" s="197"/>
      <c r="Z26" s="184" t="s">
        <v>87</v>
      </c>
      <c r="AA26" s="185"/>
      <c r="AB26" s="186"/>
      <c r="AC26" s="184">
        <v>4</v>
      </c>
      <c r="AD26" s="186"/>
      <c r="AE26" s="265"/>
      <c r="AF26" s="161"/>
      <c r="AG26" s="161"/>
      <c r="AH26" s="161"/>
      <c r="AI26" s="161"/>
      <c r="AJ26" s="161"/>
      <c r="AK26" s="162"/>
      <c r="AL26" s="73"/>
    </row>
    <row r="27" spans="1:38" s="48" customFormat="1" ht="13.5" customHeight="1">
      <c r="A27" s="72"/>
      <c r="B27" s="118"/>
      <c r="C27" s="266"/>
      <c r="D27" s="267"/>
      <c r="E27" s="267"/>
      <c r="F27" s="267"/>
      <c r="G27" s="268"/>
      <c r="H27" s="269"/>
      <c r="I27" s="270"/>
      <c r="J27" s="270"/>
      <c r="K27" s="270"/>
      <c r="L27" s="270"/>
      <c r="M27" s="270"/>
      <c r="N27" s="270"/>
      <c r="O27" s="270"/>
      <c r="P27" s="271"/>
      <c r="Q27" s="274"/>
      <c r="R27" s="275"/>
      <c r="S27" s="275"/>
      <c r="T27" s="275"/>
      <c r="U27" s="275"/>
      <c r="V27" s="275"/>
      <c r="W27" s="276"/>
      <c r="X27" s="280"/>
      <c r="Y27" s="281"/>
      <c r="Z27" s="282"/>
      <c r="AA27" s="283"/>
      <c r="AB27" s="284"/>
      <c r="AC27" s="282"/>
      <c r="AD27" s="284"/>
      <c r="AE27" s="285"/>
      <c r="AF27" s="286"/>
      <c r="AG27" s="286"/>
      <c r="AH27" s="286"/>
      <c r="AI27" s="286"/>
      <c r="AJ27" s="286"/>
      <c r="AK27" s="287"/>
      <c r="AL27" s="73"/>
    </row>
    <row r="28" spans="1:38" s="48" customFormat="1" ht="13.5" customHeight="1">
      <c r="A28" s="72"/>
      <c r="B28" s="64"/>
      <c r="C28" s="216"/>
      <c r="D28" s="217"/>
      <c r="E28" s="217"/>
      <c r="F28" s="217"/>
      <c r="G28" s="218"/>
      <c r="H28" s="175"/>
      <c r="I28" s="176"/>
      <c r="J28" s="176"/>
      <c r="K28" s="176"/>
      <c r="L28" s="176"/>
      <c r="M28" s="176"/>
      <c r="N28" s="176"/>
      <c r="O28" s="176"/>
      <c r="P28" s="177"/>
      <c r="Q28" s="277"/>
      <c r="R28" s="278"/>
      <c r="S28" s="278"/>
      <c r="T28" s="278"/>
      <c r="U28" s="278"/>
      <c r="V28" s="278"/>
      <c r="W28" s="279"/>
      <c r="X28" s="198"/>
      <c r="Y28" s="199"/>
      <c r="Z28" s="187"/>
      <c r="AA28" s="188"/>
      <c r="AB28" s="189"/>
      <c r="AC28" s="187"/>
      <c r="AD28" s="189"/>
      <c r="AE28" s="163"/>
      <c r="AF28" s="164"/>
      <c r="AG28" s="164"/>
      <c r="AH28" s="164"/>
      <c r="AI28" s="164"/>
      <c r="AJ28" s="164"/>
      <c r="AK28" s="165"/>
      <c r="AL28" s="73"/>
    </row>
    <row r="29" spans="1:38" s="48" customFormat="1" ht="13.5" customHeight="1">
      <c r="A29" s="72"/>
      <c r="B29" s="63">
        <f t="shared" ref="B29" si="5">B26+1</f>
        <v>10</v>
      </c>
      <c r="C29" s="213" t="s">
        <v>100</v>
      </c>
      <c r="D29" s="214"/>
      <c r="E29" s="214"/>
      <c r="F29" s="214"/>
      <c r="G29" s="215"/>
      <c r="H29" s="172" t="s">
        <v>101</v>
      </c>
      <c r="I29" s="173"/>
      <c r="J29" s="173"/>
      <c r="K29" s="173"/>
      <c r="L29" s="173"/>
      <c r="M29" s="173"/>
      <c r="N29" s="173"/>
      <c r="O29" s="173"/>
      <c r="P29" s="174"/>
      <c r="Q29" s="264" t="s">
        <v>51</v>
      </c>
      <c r="R29" s="252"/>
      <c r="S29" s="252"/>
      <c r="T29" s="252"/>
      <c r="U29" s="252"/>
      <c r="V29" s="252"/>
      <c r="W29" s="253"/>
      <c r="X29" s="212" t="s">
        <v>51</v>
      </c>
      <c r="Y29" s="197"/>
      <c r="Z29" s="257" t="s">
        <v>42</v>
      </c>
      <c r="AA29" s="185"/>
      <c r="AB29" s="186"/>
      <c r="AC29" s="184" t="s">
        <v>102</v>
      </c>
      <c r="AD29" s="186"/>
      <c r="AE29" s="160"/>
      <c r="AF29" s="161"/>
      <c r="AG29" s="161"/>
      <c r="AH29" s="161"/>
      <c r="AI29" s="161"/>
      <c r="AJ29" s="161"/>
      <c r="AK29" s="162"/>
      <c r="AL29" s="73"/>
    </row>
    <row r="30" spans="1:38" s="48" customFormat="1" ht="13.5" customHeight="1">
      <c r="A30" s="72"/>
      <c r="B30" s="64"/>
      <c r="C30" s="216"/>
      <c r="D30" s="217"/>
      <c r="E30" s="217"/>
      <c r="F30" s="217"/>
      <c r="G30" s="218"/>
      <c r="H30" s="175"/>
      <c r="I30" s="176"/>
      <c r="J30" s="176"/>
      <c r="K30" s="176"/>
      <c r="L30" s="176"/>
      <c r="M30" s="176"/>
      <c r="N30" s="176"/>
      <c r="O30" s="176"/>
      <c r="P30" s="177"/>
      <c r="Q30" s="254"/>
      <c r="R30" s="255"/>
      <c r="S30" s="255"/>
      <c r="T30" s="255"/>
      <c r="U30" s="255"/>
      <c r="V30" s="255"/>
      <c r="W30" s="256"/>
      <c r="X30" s="198"/>
      <c r="Y30" s="199"/>
      <c r="Z30" s="187"/>
      <c r="AA30" s="188"/>
      <c r="AB30" s="189"/>
      <c r="AC30" s="187"/>
      <c r="AD30" s="189"/>
      <c r="AE30" s="163"/>
      <c r="AF30" s="164"/>
      <c r="AG30" s="164"/>
      <c r="AH30" s="164"/>
      <c r="AI30" s="164"/>
      <c r="AJ30" s="164"/>
      <c r="AK30" s="165"/>
      <c r="AL30" s="73"/>
    </row>
    <row r="31" spans="1:38" s="48" customFormat="1" ht="13.5" customHeight="1">
      <c r="A31" s="72"/>
      <c r="B31" s="63">
        <f t="shared" ref="B31" si="6">B29+1</f>
        <v>11</v>
      </c>
      <c r="C31" s="213" t="s">
        <v>103</v>
      </c>
      <c r="D31" s="214"/>
      <c r="E31" s="214"/>
      <c r="F31" s="214"/>
      <c r="G31" s="215"/>
      <c r="H31" s="172" t="s">
        <v>135</v>
      </c>
      <c r="I31" s="173"/>
      <c r="J31" s="173"/>
      <c r="K31" s="173"/>
      <c r="L31" s="173"/>
      <c r="M31" s="173"/>
      <c r="N31" s="173"/>
      <c r="O31" s="173"/>
      <c r="P31" s="174"/>
      <c r="Q31" s="219" t="s">
        <v>130</v>
      </c>
      <c r="R31" s="252"/>
      <c r="S31" s="252"/>
      <c r="T31" s="252"/>
      <c r="U31" s="252"/>
      <c r="V31" s="252"/>
      <c r="W31" s="253"/>
      <c r="X31" s="196" t="s">
        <v>41</v>
      </c>
      <c r="Y31" s="197"/>
      <c r="Z31" s="257" t="s">
        <v>42</v>
      </c>
      <c r="AA31" s="185"/>
      <c r="AB31" s="186"/>
      <c r="AC31" s="184" t="s">
        <v>149</v>
      </c>
      <c r="AD31" s="186"/>
      <c r="AE31" s="160"/>
      <c r="AF31" s="161"/>
      <c r="AG31" s="161"/>
      <c r="AH31" s="161"/>
      <c r="AI31" s="161"/>
      <c r="AJ31" s="161"/>
      <c r="AK31" s="162"/>
      <c r="AL31" s="73"/>
    </row>
    <row r="32" spans="1:38" s="48" customFormat="1" ht="13.5" customHeight="1">
      <c r="A32" s="72"/>
      <c r="B32" s="64"/>
      <c r="C32" s="216"/>
      <c r="D32" s="217"/>
      <c r="E32" s="217"/>
      <c r="F32" s="217"/>
      <c r="G32" s="218"/>
      <c r="H32" s="175"/>
      <c r="I32" s="176"/>
      <c r="J32" s="176"/>
      <c r="K32" s="176"/>
      <c r="L32" s="176"/>
      <c r="M32" s="176"/>
      <c r="N32" s="176"/>
      <c r="O32" s="176"/>
      <c r="P32" s="177"/>
      <c r="Q32" s="254"/>
      <c r="R32" s="255"/>
      <c r="S32" s="255"/>
      <c r="T32" s="255"/>
      <c r="U32" s="255"/>
      <c r="V32" s="255"/>
      <c r="W32" s="256"/>
      <c r="X32" s="198"/>
      <c r="Y32" s="199"/>
      <c r="Z32" s="187"/>
      <c r="AA32" s="188"/>
      <c r="AB32" s="189"/>
      <c r="AC32" s="187"/>
      <c r="AD32" s="189"/>
      <c r="AE32" s="163"/>
      <c r="AF32" s="164"/>
      <c r="AG32" s="164"/>
      <c r="AH32" s="164"/>
      <c r="AI32" s="164"/>
      <c r="AJ32" s="164"/>
      <c r="AK32" s="165"/>
      <c r="AL32" s="73"/>
    </row>
    <row r="33" spans="1:38" s="48" customFormat="1" ht="13.5" customHeight="1">
      <c r="A33" s="72"/>
      <c r="B33" s="63">
        <f t="shared" ref="B33" si="7">B31+1</f>
        <v>12</v>
      </c>
      <c r="C33" s="213" t="s">
        <v>105</v>
      </c>
      <c r="D33" s="214"/>
      <c r="E33" s="214"/>
      <c r="F33" s="214"/>
      <c r="G33" s="215"/>
      <c r="H33" s="172" t="s">
        <v>134</v>
      </c>
      <c r="I33" s="173"/>
      <c r="J33" s="173"/>
      <c r="K33" s="173"/>
      <c r="L33" s="173"/>
      <c r="M33" s="173"/>
      <c r="N33" s="173"/>
      <c r="O33" s="173"/>
      <c r="P33" s="174"/>
      <c r="Q33" s="219" t="s">
        <v>130</v>
      </c>
      <c r="R33" s="252"/>
      <c r="S33" s="252"/>
      <c r="T33" s="252"/>
      <c r="U33" s="252"/>
      <c r="V33" s="252"/>
      <c r="W33" s="253"/>
      <c r="X33" s="196" t="s">
        <v>41</v>
      </c>
      <c r="Y33" s="197"/>
      <c r="Z33" s="257" t="s">
        <v>42</v>
      </c>
      <c r="AA33" s="185"/>
      <c r="AB33" s="186"/>
      <c r="AC33" s="184" t="s">
        <v>149</v>
      </c>
      <c r="AD33" s="186"/>
      <c r="AE33" s="160"/>
      <c r="AF33" s="161"/>
      <c r="AG33" s="161"/>
      <c r="AH33" s="161"/>
      <c r="AI33" s="161"/>
      <c r="AJ33" s="161"/>
      <c r="AK33" s="162"/>
      <c r="AL33" s="73"/>
    </row>
    <row r="34" spans="1:38" s="48" customFormat="1" ht="13.5" customHeight="1">
      <c r="A34" s="72"/>
      <c r="B34" s="64"/>
      <c r="C34" s="216"/>
      <c r="D34" s="217"/>
      <c r="E34" s="217"/>
      <c r="F34" s="217"/>
      <c r="G34" s="218"/>
      <c r="H34" s="175"/>
      <c r="I34" s="176"/>
      <c r="J34" s="176"/>
      <c r="K34" s="176"/>
      <c r="L34" s="176"/>
      <c r="M34" s="176"/>
      <c r="N34" s="176"/>
      <c r="O34" s="176"/>
      <c r="P34" s="177"/>
      <c r="Q34" s="254"/>
      <c r="R34" s="255"/>
      <c r="S34" s="255"/>
      <c r="T34" s="255"/>
      <c r="U34" s="255"/>
      <c r="V34" s="255"/>
      <c r="W34" s="256"/>
      <c r="X34" s="198"/>
      <c r="Y34" s="199"/>
      <c r="Z34" s="187"/>
      <c r="AA34" s="188"/>
      <c r="AB34" s="189"/>
      <c r="AC34" s="187"/>
      <c r="AD34" s="189"/>
      <c r="AE34" s="163"/>
      <c r="AF34" s="164"/>
      <c r="AG34" s="164"/>
      <c r="AH34" s="164"/>
      <c r="AI34" s="164"/>
      <c r="AJ34" s="164"/>
      <c r="AK34" s="165"/>
      <c r="AL34" s="73"/>
    </row>
    <row r="35" spans="1:38" s="48" customFormat="1" ht="13.5" customHeight="1">
      <c r="A35" s="72"/>
      <c r="B35" s="63">
        <f t="shared" ref="B35" si="8">B33+1</f>
        <v>13</v>
      </c>
      <c r="C35" s="213" t="s">
        <v>106</v>
      </c>
      <c r="D35" s="214"/>
      <c r="E35" s="214"/>
      <c r="F35" s="214"/>
      <c r="G35" s="215"/>
      <c r="H35" s="172" t="s">
        <v>133</v>
      </c>
      <c r="I35" s="173"/>
      <c r="J35" s="173"/>
      <c r="K35" s="173"/>
      <c r="L35" s="173"/>
      <c r="M35" s="173"/>
      <c r="N35" s="173"/>
      <c r="O35" s="173"/>
      <c r="P35" s="174"/>
      <c r="Q35" s="219" t="s">
        <v>130</v>
      </c>
      <c r="R35" s="252"/>
      <c r="S35" s="252"/>
      <c r="T35" s="252"/>
      <c r="U35" s="252"/>
      <c r="V35" s="252"/>
      <c r="W35" s="253"/>
      <c r="X35" s="196" t="s">
        <v>41</v>
      </c>
      <c r="Y35" s="197"/>
      <c r="Z35" s="257" t="s">
        <v>42</v>
      </c>
      <c r="AA35" s="185"/>
      <c r="AB35" s="186"/>
      <c r="AC35" s="184" t="s">
        <v>149</v>
      </c>
      <c r="AD35" s="186"/>
      <c r="AE35" s="160"/>
      <c r="AF35" s="161"/>
      <c r="AG35" s="161"/>
      <c r="AH35" s="161"/>
      <c r="AI35" s="161"/>
      <c r="AJ35" s="161"/>
      <c r="AK35" s="162"/>
      <c r="AL35" s="73"/>
    </row>
    <row r="36" spans="1:38" s="48" customFormat="1" ht="13.5" customHeight="1">
      <c r="A36" s="72"/>
      <c r="B36" s="64"/>
      <c r="C36" s="216"/>
      <c r="D36" s="217"/>
      <c r="E36" s="217"/>
      <c r="F36" s="217"/>
      <c r="G36" s="218"/>
      <c r="H36" s="175"/>
      <c r="I36" s="176"/>
      <c r="J36" s="176"/>
      <c r="K36" s="176"/>
      <c r="L36" s="176"/>
      <c r="M36" s="176"/>
      <c r="N36" s="176"/>
      <c r="O36" s="176"/>
      <c r="P36" s="177"/>
      <c r="Q36" s="254"/>
      <c r="R36" s="255"/>
      <c r="S36" s="255"/>
      <c r="T36" s="255"/>
      <c r="U36" s="255"/>
      <c r="V36" s="255"/>
      <c r="W36" s="256"/>
      <c r="X36" s="198"/>
      <c r="Y36" s="199"/>
      <c r="Z36" s="187"/>
      <c r="AA36" s="188"/>
      <c r="AB36" s="189"/>
      <c r="AC36" s="187"/>
      <c r="AD36" s="189"/>
      <c r="AE36" s="163"/>
      <c r="AF36" s="164"/>
      <c r="AG36" s="164"/>
      <c r="AH36" s="164"/>
      <c r="AI36" s="164"/>
      <c r="AJ36" s="164"/>
      <c r="AK36" s="165"/>
      <c r="AL36" s="73"/>
    </row>
    <row r="37" spans="1:38" s="48" customFormat="1" ht="13.5" customHeight="1">
      <c r="A37" s="72"/>
      <c r="B37" s="63">
        <f t="shared" ref="B37" si="9">B35+1</f>
        <v>14</v>
      </c>
      <c r="C37" s="213" t="s">
        <v>132</v>
      </c>
      <c r="D37" s="214"/>
      <c r="E37" s="214"/>
      <c r="F37" s="214"/>
      <c r="G37" s="215"/>
      <c r="H37" s="172" t="s">
        <v>131</v>
      </c>
      <c r="I37" s="173"/>
      <c r="J37" s="173"/>
      <c r="K37" s="173"/>
      <c r="L37" s="173"/>
      <c r="M37" s="173"/>
      <c r="N37" s="173"/>
      <c r="O37" s="173"/>
      <c r="P37" s="174"/>
      <c r="Q37" s="219" t="s">
        <v>130</v>
      </c>
      <c r="R37" s="252"/>
      <c r="S37" s="252"/>
      <c r="T37" s="252"/>
      <c r="U37" s="252"/>
      <c r="V37" s="252"/>
      <c r="W37" s="253"/>
      <c r="X37" s="196" t="s">
        <v>41</v>
      </c>
      <c r="Y37" s="197"/>
      <c r="Z37" s="257" t="s">
        <v>42</v>
      </c>
      <c r="AA37" s="185"/>
      <c r="AB37" s="186"/>
      <c r="AC37" s="184" t="s">
        <v>149</v>
      </c>
      <c r="AD37" s="186"/>
      <c r="AE37" s="160"/>
      <c r="AF37" s="161"/>
      <c r="AG37" s="161"/>
      <c r="AH37" s="161"/>
      <c r="AI37" s="161"/>
      <c r="AJ37" s="161"/>
      <c r="AK37" s="162"/>
      <c r="AL37" s="73"/>
    </row>
    <row r="38" spans="1:38" s="48" customFormat="1" ht="13.5" customHeight="1">
      <c r="A38" s="72"/>
      <c r="B38" s="64"/>
      <c r="C38" s="216"/>
      <c r="D38" s="217"/>
      <c r="E38" s="217"/>
      <c r="F38" s="217"/>
      <c r="G38" s="218"/>
      <c r="H38" s="175"/>
      <c r="I38" s="176"/>
      <c r="J38" s="176"/>
      <c r="K38" s="176"/>
      <c r="L38" s="176"/>
      <c r="M38" s="176"/>
      <c r="N38" s="176"/>
      <c r="O38" s="176"/>
      <c r="P38" s="177"/>
      <c r="Q38" s="254"/>
      <c r="R38" s="255"/>
      <c r="S38" s="255"/>
      <c r="T38" s="255"/>
      <c r="U38" s="255"/>
      <c r="V38" s="255"/>
      <c r="W38" s="256"/>
      <c r="X38" s="198"/>
      <c r="Y38" s="199"/>
      <c r="Z38" s="187"/>
      <c r="AA38" s="188"/>
      <c r="AB38" s="189"/>
      <c r="AC38" s="187"/>
      <c r="AD38" s="189"/>
      <c r="AE38" s="163"/>
      <c r="AF38" s="164"/>
      <c r="AG38" s="164"/>
      <c r="AH38" s="164"/>
      <c r="AI38" s="164"/>
      <c r="AJ38" s="164"/>
      <c r="AK38" s="165"/>
      <c r="AL38" s="73"/>
    </row>
    <row r="39" spans="1:38" s="40" customFormat="1" ht="13.5" customHeight="1">
      <c r="A39" s="67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144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45" t="s">
        <v>163</v>
      </c>
      <c r="AL39" s="68"/>
    </row>
    <row r="40" spans="1:38" s="40" customFormat="1" ht="13.5" customHeight="1">
      <c r="A40" s="69"/>
      <c r="B40" s="85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86"/>
    </row>
    <row r="41" spans="1:38" s="40" customFormat="1" ht="13.5" customHeight="1">
      <c r="A41" s="65"/>
      <c r="B41" s="39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91"/>
    </row>
    <row r="42" spans="1:38" s="40" customFormat="1" ht="13.5" customHeight="1">
      <c r="A42" s="67"/>
      <c r="B42" s="41" t="s">
        <v>110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68"/>
    </row>
    <row r="43" spans="1:38" s="40" customFormat="1" ht="13.5" customHeight="1">
      <c r="A43" s="67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68"/>
    </row>
    <row r="44" spans="1:38" s="40" customFormat="1" ht="13.5" customHeight="1">
      <c r="A44" s="67"/>
      <c r="B44" s="42" t="s">
        <v>30</v>
      </c>
      <c r="C44" s="43" t="s">
        <v>7</v>
      </c>
      <c r="D44" s="44"/>
      <c r="E44" s="45"/>
      <c r="F44" s="45"/>
      <c r="G44" s="46"/>
      <c r="H44" s="44" t="s">
        <v>21</v>
      </c>
      <c r="I44" s="45"/>
      <c r="J44" s="45"/>
      <c r="K44" s="45"/>
      <c r="L44" s="45"/>
      <c r="M44" s="45"/>
      <c r="N44" s="45"/>
      <c r="O44" s="45"/>
      <c r="P44" s="46"/>
      <c r="Q44" s="44" t="s">
        <v>31</v>
      </c>
      <c r="R44" s="45"/>
      <c r="S44" s="45"/>
      <c r="T44" s="45"/>
      <c r="U44" s="45"/>
      <c r="V44" s="46"/>
      <c r="W44" s="46"/>
      <c r="X44" s="44" t="s">
        <v>32</v>
      </c>
      <c r="Y44" s="46"/>
      <c r="Z44" s="44" t="s">
        <v>22</v>
      </c>
      <c r="AA44" s="46"/>
      <c r="AB44" s="44"/>
      <c r="AC44" s="44" t="s">
        <v>33</v>
      </c>
      <c r="AD44" s="47"/>
      <c r="AE44" s="47" t="s">
        <v>37</v>
      </c>
      <c r="AF44" s="45"/>
      <c r="AG44" s="45"/>
      <c r="AH44" s="45"/>
      <c r="AI44" s="45"/>
      <c r="AJ44" s="45"/>
      <c r="AK44" s="46"/>
      <c r="AL44" s="68"/>
    </row>
    <row r="45" spans="1:38" s="48" customFormat="1" ht="13.5" customHeight="1">
      <c r="A45" s="72"/>
      <c r="B45" s="63">
        <f>B37+1</f>
        <v>15</v>
      </c>
      <c r="C45" s="213" t="s">
        <v>37</v>
      </c>
      <c r="D45" s="214"/>
      <c r="E45" s="214"/>
      <c r="F45" s="214"/>
      <c r="G45" s="215"/>
      <c r="H45" s="172" t="s">
        <v>107</v>
      </c>
      <c r="I45" s="173"/>
      <c r="J45" s="173"/>
      <c r="K45" s="173"/>
      <c r="L45" s="173"/>
      <c r="M45" s="173"/>
      <c r="N45" s="173"/>
      <c r="O45" s="173"/>
      <c r="P45" s="174"/>
      <c r="Q45" s="219" t="s">
        <v>108</v>
      </c>
      <c r="R45" s="252"/>
      <c r="S45" s="252"/>
      <c r="T45" s="252"/>
      <c r="U45" s="252"/>
      <c r="V45" s="252"/>
      <c r="W45" s="253"/>
      <c r="X45" s="212" t="s">
        <v>109</v>
      </c>
      <c r="Y45" s="197"/>
      <c r="Z45" s="257" t="s">
        <v>42</v>
      </c>
      <c r="AA45" s="185"/>
      <c r="AB45" s="186"/>
      <c r="AC45" s="184" t="s">
        <v>150</v>
      </c>
      <c r="AD45" s="186"/>
      <c r="AE45" s="160"/>
      <c r="AF45" s="161"/>
      <c r="AG45" s="161"/>
      <c r="AH45" s="161"/>
      <c r="AI45" s="161"/>
      <c r="AJ45" s="161"/>
      <c r="AK45" s="162"/>
      <c r="AL45" s="73"/>
    </row>
    <row r="46" spans="1:38" s="48" customFormat="1" ht="13.5" customHeight="1">
      <c r="A46" s="72"/>
      <c r="B46" s="64"/>
      <c r="C46" s="216"/>
      <c r="D46" s="217"/>
      <c r="E46" s="217"/>
      <c r="F46" s="217"/>
      <c r="G46" s="218"/>
      <c r="H46" s="175"/>
      <c r="I46" s="176"/>
      <c r="J46" s="176"/>
      <c r="K46" s="176"/>
      <c r="L46" s="176"/>
      <c r="M46" s="176"/>
      <c r="N46" s="176"/>
      <c r="O46" s="176"/>
      <c r="P46" s="177"/>
      <c r="Q46" s="254"/>
      <c r="R46" s="255"/>
      <c r="S46" s="255"/>
      <c r="T46" s="255"/>
      <c r="U46" s="255"/>
      <c r="V46" s="255"/>
      <c r="W46" s="256"/>
      <c r="X46" s="198"/>
      <c r="Y46" s="199"/>
      <c r="Z46" s="187"/>
      <c r="AA46" s="188"/>
      <c r="AB46" s="189"/>
      <c r="AC46" s="187"/>
      <c r="AD46" s="189"/>
      <c r="AE46" s="163"/>
      <c r="AF46" s="164"/>
      <c r="AG46" s="164"/>
      <c r="AH46" s="164"/>
      <c r="AI46" s="164"/>
      <c r="AJ46" s="164"/>
      <c r="AK46" s="165"/>
      <c r="AL46" s="73"/>
    </row>
    <row r="47" spans="1:38" s="48" customFormat="1" ht="13.5" customHeight="1">
      <c r="A47" s="72"/>
      <c r="B47" s="63">
        <f>B45+1</f>
        <v>16</v>
      </c>
      <c r="C47" s="213" t="s">
        <v>43</v>
      </c>
      <c r="D47" s="214"/>
      <c r="E47" s="214"/>
      <c r="F47" s="214"/>
      <c r="G47" s="215"/>
      <c r="H47" s="172" t="s">
        <v>116</v>
      </c>
      <c r="I47" s="173"/>
      <c r="J47" s="173"/>
      <c r="K47" s="173"/>
      <c r="L47" s="173"/>
      <c r="M47" s="173"/>
      <c r="N47" s="173"/>
      <c r="O47" s="173"/>
      <c r="P47" s="174"/>
      <c r="Q47" s="251" t="s">
        <v>44</v>
      </c>
      <c r="R47" s="252"/>
      <c r="S47" s="252"/>
      <c r="T47" s="252"/>
      <c r="U47" s="252"/>
      <c r="V47" s="252"/>
      <c r="W47" s="253"/>
      <c r="X47" s="200" t="s">
        <v>39</v>
      </c>
      <c r="Y47" s="197"/>
      <c r="Z47" s="257" t="s">
        <v>49</v>
      </c>
      <c r="AA47" s="185"/>
      <c r="AB47" s="186"/>
      <c r="AC47" s="257">
        <v>16</v>
      </c>
      <c r="AD47" s="186"/>
      <c r="AE47" s="265" t="s">
        <v>137</v>
      </c>
      <c r="AF47" s="161"/>
      <c r="AG47" s="161"/>
      <c r="AH47" s="161"/>
      <c r="AI47" s="161"/>
      <c r="AJ47" s="161"/>
      <c r="AK47" s="162"/>
      <c r="AL47" s="73"/>
    </row>
    <row r="48" spans="1:38" s="48" customFormat="1" ht="13.5" customHeight="1">
      <c r="A48" s="72"/>
      <c r="B48" s="64"/>
      <c r="C48" s="216"/>
      <c r="D48" s="217"/>
      <c r="E48" s="217"/>
      <c r="F48" s="217"/>
      <c r="G48" s="218"/>
      <c r="H48" s="175"/>
      <c r="I48" s="176"/>
      <c r="J48" s="176"/>
      <c r="K48" s="176"/>
      <c r="L48" s="176"/>
      <c r="M48" s="176"/>
      <c r="N48" s="176"/>
      <c r="O48" s="176"/>
      <c r="P48" s="177"/>
      <c r="Q48" s="254"/>
      <c r="R48" s="255"/>
      <c r="S48" s="255"/>
      <c r="T48" s="255"/>
      <c r="U48" s="255"/>
      <c r="V48" s="255"/>
      <c r="W48" s="256"/>
      <c r="X48" s="198"/>
      <c r="Y48" s="199"/>
      <c r="Z48" s="187"/>
      <c r="AA48" s="188"/>
      <c r="AB48" s="189"/>
      <c r="AC48" s="187"/>
      <c r="AD48" s="189"/>
      <c r="AE48" s="163"/>
      <c r="AF48" s="164"/>
      <c r="AG48" s="164"/>
      <c r="AH48" s="164"/>
      <c r="AI48" s="164"/>
      <c r="AJ48" s="164"/>
      <c r="AK48" s="165"/>
      <c r="AL48" s="73"/>
    </row>
    <row r="49" spans="1:38" s="48" customFormat="1" ht="13.5" customHeight="1">
      <c r="A49" s="72"/>
      <c r="B49" s="63">
        <f>B47+1</f>
        <v>17</v>
      </c>
      <c r="C49" s="213" t="s">
        <v>50</v>
      </c>
      <c r="D49" s="214"/>
      <c r="E49" s="214"/>
      <c r="F49" s="214"/>
      <c r="G49" s="215"/>
      <c r="H49" s="172" t="s">
        <v>117</v>
      </c>
      <c r="I49" s="173"/>
      <c r="J49" s="173"/>
      <c r="K49" s="173"/>
      <c r="L49" s="173"/>
      <c r="M49" s="173"/>
      <c r="N49" s="173"/>
      <c r="O49" s="173"/>
      <c r="P49" s="174"/>
      <c r="Q49" s="251" t="s">
        <v>44</v>
      </c>
      <c r="R49" s="252"/>
      <c r="S49" s="252"/>
      <c r="T49" s="252"/>
      <c r="U49" s="252"/>
      <c r="V49" s="252"/>
      <c r="W49" s="253"/>
      <c r="X49" s="200" t="s">
        <v>39</v>
      </c>
      <c r="Y49" s="197"/>
      <c r="Z49" s="257" t="s">
        <v>49</v>
      </c>
      <c r="AA49" s="185"/>
      <c r="AB49" s="186"/>
      <c r="AC49" s="257">
        <v>16</v>
      </c>
      <c r="AD49" s="186"/>
      <c r="AE49" s="265" t="s">
        <v>137</v>
      </c>
      <c r="AF49" s="161"/>
      <c r="AG49" s="161"/>
      <c r="AH49" s="161"/>
      <c r="AI49" s="161"/>
      <c r="AJ49" s="161"/>
      <c r="AK49" s="162"/>
      <c r="AL49" s="73"/>
    </row>
    <row r="50" spans="1:38" s="48" customFormat="1" ht="13.5" customHeight="1">
      <c r="A50" s="72"/>
      <c r="B50" s="64"/>
      <c r="C50" s="216"/>
      <c r="D50" s="217"/>
      <c r="E50" s="217"/>
      <c r="F50" s="217"/>
      <c r="G50" s="218"/>
      <c r="H50" s="175"/>
      <c r="I50" s="176"/>
      <c r="J50" s="176"/>
      <c r="K50" s="176"/>
      <c r="L50" s="176"/>
      <c r="M50" s="176"/>
      <c r="N50" s="176"/>
      <c r="O50" s="176"/>
      <c r="P50" s="177"/>
      <c r="Q50" s="254"/>
      <c r="R50" s="255"/>
      <c r="S50" s="255"/>
      <c r="T50" s="255"/>
      <c r="U50" s="255"/>
      <c r="V50" s="255"/>
      <c r="W50" s="256"/>
      <c r="X50" s="198"/>
      <c r="Y50" s="199"/>
      <c r="Z50" s="187"/>
      <c r="AA50" s="188"/>
      <c r="AB50" s="189"/>
      <c r="AC50" s="187"/>
      <c r="AD50" s="189"/>
      <c r="AE50" s="163"/>
      <c r="AF50" s="164"/>
      <c r="AG50" s="164"/>
      <c r="AH50" s="164"/>
      <c r="AI50" s="164"/>
      <c r="AJ50" s="164"/>
      <c r="AK50" s="165"/>
      <c r="AL50" s="73"/>
    </row>
    <row r="51" spans="1:38" s="77" customFormat="1" ht="13.5" customHeight="1">
      <c r="A51" s="76"/>
      <c r="AL51" s="78"/>
    </row>
    <row r="52" spans="1:38" s="77" customFormat="1" ht="13.5" customHeight="1">
      <c r="A52" s="76"/>
      <c r="AL52" s="78"/>
    </row>
    <row r="53" spans="1:38" s="77" customFormat="1" ht="13.5" customHeight="1">
      <c r="A53" s="76"/>
      <c r="AL53" s="78"/>
    </row>
    <row r="54" spans="1:38" s="77" customFormat="1" ht="13.5" customHeight="1">
      <c r="A54" s="76"/>
      <c r="AL54" s="78"/>
    </row>
    <row r="55" spans="1:38" s="77" customFormat="1" ht="13.5" customHeight="1">
      <c r="A55" s="76"/>
      <c r="AL55" s="78"/>
    </row>
    <row r="56" spans="1:38" s="77" customFormat="1" ht="13.5" customHeight="1">
      <c r="A56" s="76"/>
      <c r="AL56" s="78"/>
    </row>
    <row r="57" spans="1:38" s="77" customFormat="1" ht="13.5" customHeight="1">
      <c r="A57" s="76"/>
      <c r="AL57" s="78"/>
    </row>
    <row r="58" spans="1:38" s="77" customFormat="1" ht="13.5" customHeight="1">
      <c r="A58" s="76"/>
      <c r="AL58" s="78"/>
    </row>
    <row r="59" spans="1:38" s="77" customFormat="1" ht="13.5" customHeight="1">
      <c r="A59" s="76"/>
      <c r="AL59" s="78"/>
    </row>
    <row r="60" spans="1:38" s="77" customFormat="1" ht="13.5" customHeight="1">
      <c r="A60" s="76"/>
      <c r="AL60" s="78"/>
    </row>
    <row r="61" spans="1:38" s="77" customFormat="1" ht="13.5" customHeight="1">
      <c r="A61" s="76"/>
      <c r="AL61" s="78"/>
    </row>
    <row r="62" spans="1:38" s="77" customFormat="1" ht="13.5" customHeight="1">
      <c r="A62" s="76"/>
      <c r="AL62" s="78"/>
    </row>
    <row r="63" spans="1:38" s="77" customFormat="1" ht="13.5" customHeight="1">
      <c r="A63" s="76"/>
      <c r="AL63" s="78"/>
    </row>
    <row r="64" spans="1:38" s="77" customFormat="1" ht="13.5" customHeight="1">
      <c r="A64" s="76"/>
      <c r="AL64" s="78"/>
    </row>
    <row r="65" spans="1:38" s="77" customFormat="1" ht="13.5" customHeight="1">
      <c r="A65" s="76"/>
      <c r="AL65" s="78"/>
    </row>
    <row r="66" spans="1:38" s="77" customFormat="1" ht="13.5" customHeight="1">
      <c r="A66" s="76"/>
      <c r="AL66" s="78"/>
    </row>
    <row r="67" spans="1:38" s="77" customFormat="1" ht="13.5" customHeight="1">
      <c r="A67" s="76"/>
      <c r="AL67" s="78"/>
    </row>
    <row r="68" spans="1:38" s="77" customFormat="1" ht="13.5" customHeight="1">
      <c r="A68" s="76"/>
      <c r="AL68" s="78"/>
    </row>
    <row r="69" spans="1:38" s="77" customFormat="1" ht="13.5" customHeight="1">
      <c r="A69" s="76"/>
      <c r="AL69" s="78"/>
    </row>
    <row r="70" spans="1:38" s="77" customFormat="1" ht="13.5" customHeight="1">
      <c r="A70" s="76"/>
      <c r="AL70" s="78"/>
    </row>
    <row r="71" spans="1:38" s="77" customFormat="1" ht="13.5" customHeight="1">
      <c r="A71" s="76"/>
      <c r="AL71" s="78"/>
    </row>
    <row r="72" spans="1:38" s="77" customFormat="1" ht="13.5" customHeight="1">
      <c r="A72" s="76"/>
      <c r="AL72" s="78"/>
    </row>
    <row r="73" spans="1:38" s="77" customFormat="1" ht="13.5" customHeight="1">
      <c r="A73" s="76"/>
      <c r="AL73" s="78"/>
    </row>
    <row r="74" spans="1:38" s="40" customFormat="1" ht="13.5" customHeight="1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1"/>
    </row>
    <row r="75" spans="1:38" s="9" customFormat="1" ht="13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9" customFormat="1" ht="13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9" customFormat="1" ht="13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9" customFormat="1" ht="13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9" customFormat="1" ht="13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9" customFormat="1" ht="13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9" customFormat="1" ht="13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9" customFormat="1" ht="13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9" customFormat="1" ht="13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9" customFormat="1" ht="13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9" customFormat="1" ht="13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s="9" customFormat="1" ht="13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pans="1:38" s="9" customFormat="1" ht="13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pans="1:38" s="9" customFormat="1" ht="13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pans="1:38" s="9" customFormat="1" ht="13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s="9" customFormat="1" ht="13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s="9" customFormat="1" ht="13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9" customFormat="1" ht="13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pans="1:38" s="9" customFormat="1" ht="13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pans="1:38" s="9" customFormat="1" ht="13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pans="1:38" s="9" customFormat="1" ht="13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s="9" customFormat="1" ht="13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9" customFormat="1" ht="13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9" customFormat="1" ht="13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pans="1:38" s="9" customFormat="1" ht="13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pans="1:38" s="9" customFormat="1" ht="13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pans="1:38" s="9" customFormat="1" ht="13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9" customFormat="1" ht="13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9" customFormat="1" ht="13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9" customFormat="1" ht="13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9" customFormat="1" ht="13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9" customFormat="1" ht="13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9" customFormat="1" ht="13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9" customFormat="1" ht="13.5" customHeight="1"/>
    <row r="109" spans="1:38" s="9" customFormat="1" ht="13.5" customHeight="1"/>
    <row r="110" spans="1:38" s="9" customFormat="1" ht="13.5" customHeight="1"/>
    <row r="111" spans="1:38" s="9" customFormat="1" ht="13.5" customHeight="1"/>
  </sheetData>
  <mergeCells count="124">
    <mergeCell ref="AC10:AD11"/>
    <mergeCell ref="AE10:AK11"/>
    <mergeCell ref="C47:G48"/>
    <mergeCell ref="H47:P48"/>
    <mergeCell ref="Q47:W48"/>
    <mergeCell ref="X47:Y48"/>
    <mergeCell ref="Z47:AB48"/>
    <mergeCell ref="AC47:AD48"/>
    <mergeCell ref="AE47:AK48"/>
    <mergeCell ref="AE33:AK34"/>
    <mergeCell ref="C35:G36"/>
    <mergeCell ref="H35:P36"/>
    <mergeCell ref="Q35:W36"/>
    <mergeCell ref="X35:Y36"/>
    <mergeCell ref="Z35:AB36"/>
    <mergeCell ref="AC35:AD36"/>
    <mergeCell ref="AE35:AK36"/>
    <mergeCell ref="C33:G34"/>
    <mergeCell ref="H33:P34"/>
    <mergeCell ref="Q33:W34"/>
    <mergeCell ref="X33:Y34"/>
    <mergeCell ref="Z33:AB34"/>
    <mergeCell ref="AC33:AD34"/>
    <mergeCell ref="AE29:AK30"/>
    <mergeCell ref="C49:G50"/>
    <mergeCell ref="H49:P50"/>
    <mergeCell ref="Q49:W50"/>
    <mergeCell ref="X49:Y50"/>
    <mergeCell ref="Z49:AB50"/>
    <mergeCell ref="AC49:AD50"/>
    <mergeCell ref="AE49:AK50"/>
    <mergeCell ref="AE37:AK38"/>
    <mergeCell ref="C45:G46"/>
    <mergeCell ref="H45:P46"/>
    <mergeCell ref="Q45:W46"/>
    <mergeCell ref="X45:Y46"/>
    <mergeCell ref="Z45:AB46"/>
    <mergeCell ref="AC45:AD46"/>
    <mergeCell ref="AE45:AK46"/>
    <mergeCell ref="C37:G38"/>
    <mergeCell ref="H37:P38"/>
    <mergeCell ref="Q37:W38"/>
    <mergeCell ref="X37:Y38"/>
    <mergeCell ref="Z37:AB38"/>
    <mergeCell ref="AC37:AD38"/>
    <mergeCell ref="C31:G32"/>
    <mergeCell ref="H31:P32"/>
    <mergeCell ref="Q31:W32"/>
    <mergeCell ref="X31:Y32"/>
    <mergeCell ref="Z31:AB32"/>
    <mergeCell ref="AC31:AD32"/>
    <mergeCell ref="AE31:AK32"/>
    <mergeCell ref="C29:G30"/>
    <mergeCell ref="H29:P30"/>
    <mergeCell ref="Q29:W30"/>
    <mergeCell ref="X29:Y30"/>
    <mergeCell ref="Z29:AB30"/>
    <mergeCell ref="AC29:AD30"/>
    <mergeCell ref="AE24:AK25"/>
    <mergeCell ref="C26:G28"/>
    <mergeCell ref="H26:P28"/>
    <mergeCell ref="Q26:W28"/>
    <mergeCell ref="X26:Y28"/>
    <mergeCell ref="Z26:AB28"/>
    <mergeCell ref="AC26:AD28"/>
    <mergeCell ref="AE26:AK28"/>
    <mergeCell ref="C24:G25"/>
    <mergeCell ref="H24:P25"/>
    <mergeCell ref="Q24:W25"/>
    <mergeCell ref="X24:Y25"/>
    <mergeCell ref="Z24:AB25"/>
    <mergeCell ref="AC24:AD25"/>
    <mergeCell ref="AE20:AK21"/>
    <mergeCell ref="C22:G23"/>
    <mergeCell ref="H22:P23"/>
    <mergeCell ref="Q22:W23"/>
    <mergeCell ref="X22:Y23"/>
    <mergeCell ref="Z22:AB23"/>
    <mergeCell ref="AC22:AD23"/>
    <mergeCell ref="AE22:AK23"/>
    <mergeCell ref="C20:G21"/>
    <mergeCell ref="H20:P21"/>
    <mergeCell ref="Q20:W21"/>
    <mergeCell ref="X20:Y21"/>
    <mergeCell ref="Z20:AB21"/>
    <mergeCell ref="AC20:AD21"/>
    <mergeCell ref="AE16:AK17"/>
    <mergeCell ref="C18:G19"/>
    <mergeCell ref="H18:P19"/>
    <mergeCell ref="Q18:W19"/>
    <mergeCell ref="X18:Y19"/>
    <mergeCell ref="Z18:AB19"/>
    <mergeCell ref="AC18:AD19"/>
    <mergeCell ref="AE18:AK19"/>
    <mergeCell ref="C16:G17"/>
    <mergeCell ref="H16:P17"/>
    <mergeCell ref="Q16:W17"/>
    <mergeCell ref="X16:Y17"/>
    <mergeCell ref="Z16:AB17"/>
    <mergeCell ref="AC16:AD17"/>
    <mergeCell ref="P1:AL1"/>
    <mergeCell ref="A2:H3"/>
    <mergeCell ref="I2:O3"/>
    <mergeCell ref="P2:AL3"/>
    <mergeCell ref="T4:X4"/>
    <mergeCell ref="C14:G15"/>
    <mergeCell ref="H14:P15"/>
    <mergeCell ref="Q14:W15"/>
    <mergeCell ref="X14:Y15"/>
    <mergeCell ref="Z14:AB15"/>
    <mergeCell ref="AC14:AD15"/>
    <mergeCell ref="AE14:AK15"/>
    <mergeCell ref="C12:G13"/>
    <mergeCell ref="H12:P13"/>
    <mergeCell ref="Q12:W13"/>
    <mergeCell ref="X12:Y13"/>
    <mergeCell ref="Z12:AB13"/>
    <mergeCell ref="AC12:AD13"/>
    <mergeCell ref="AE12:AK13"/>
    <mergeCell ref="C10:G11"/>
    <mergeCell ref="H10:P11"/>
    <mergeCell ref="Q10:W11"/>
    <mergeCell ref="X10:Y11"/>
    <mergeCell ref="Z10:AB11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scaleWithDoc="0" alignWithMargins="0">
    <oddFooter>&amp;C5.2.1-&amp;P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view="pageBreakPreview" zoomScaleNormal="85" zoomScaleSheetLayoutView="100" workbookViewId="0">
      <pane ySplit="4" topLeftCell="A5" activePane="bottomLeft" state="frozen"/>
      <selection activeCell="Q16" sqref="Q16"/>
      <selection pane="bottomLeft" activeCell="G21" sqref="G21:O21"/>
    </sheetView>
  </sheetViews>
  <sheetFormatPr defaultColWidth="3.6640625" defaultRowHeight="13.5" customHeight="1"/>
  <cols>
    <col min="1" max="16384" width="3.6640625" style="22"/>
  </cols>
  <sheetData>
    <row r="1" spans="1:38" s="1" customFormat="1" ht="13.5" customHeight="1">
      <c r="A1" s="28" t="s">
        <v>5</v>
      </c>
      <c r="B1" s="29"/>
      <c r="C1" s="30"/>
      <c r="D1" s="30"/>
      <c r="E1" s="30"/>
      <c r="F1" s="30"/>
      <c r="G1" s="30"/>
      <c r="H1" s="30"/>
      <c r="I1" s="28" t="s">
        <v>17</v>
      </c>
      <c r="J1" s="30"/>
      <c r="K1" s="30"/>
      <c r="L1" s="30"/>
      <c r="M1" s="30"/>
      <c r="N1" s="30"/>
      <c r="O1" s="30"/>
      <c r="P1" s="151" t="s">
        <v>18</v>
      </c>
      <c r="Q1" s="152"/>
      <c r="R1" s="152"/>
      <c r="S1" s="152"/>
      <c r="T1" s="152"/>
      <c r="U1" s="152"/>
      <c r="V1" s="152"/>
      <c r="W1" s="152"/>
      <c r="X1" s="152"/>
      <c r="Y1" s="152"/>
      <c r="Z1" s="152" t="s">
        <v>19</v>
      </c>
      <c r="AA1" s="152"/>
      <c r="AB1" s="152"/>
      <c r="AC1" s="152" t="s">
        <v>20</v>
      </c>
      <c r="AD1" s="152"/>
      <c r="AE1" s="152"/>
      <c r="AF1" s="152"/>
      <c r="AG1" s="152"/>
      <c r="AH1" s="152"/>
      <c r="AI1" s="152"/>
      <c r="AJ1" s="152"/>
      <c r="AK1" s="152"/>
      <c r="AL1" s="153"/>
    </row>
    <row r="2" spans="1:38" s="1" customFormat="1" ht="13.5" customHeight="1">
      <c r="A2" s="154" t="str">
        <f>目次!D1</f>
        <v>災対用ビル別情報マップ</v>
      </c>
      <c r="B2" s="207"/>
      <c r="C2" s="207"/>
      <c r="D2" s="207"/>
      <c r="E2" s="207"/>
      <c r="F2" s="207"/>
      <c r="G2" s="207"/>
      <c r="H2" s="208"/>
      <c r="I2" s="154" t="str">
        <f>目次!D2</f>
        <v>第５章　ファイル設計</v>
      </c>
      <c r="J2" s="155"/>
      <c r="K2" s="155"/>
      <c r="L2" s="155"/>
      <c r="M2" s="155"/>
      <c r="N2" s="155"/>
      <c r="O2" s="156"/>
      <c r="P2" s="201" t="str">
        <f>目次!A4</f>
        <v>５．２．１　被災状況登録</v>
      </c>
      <c r="Q2" s="202"/>
      <c r="R2" s="202"/>
      <c r="S2" s="202"/>
      <c r="T2" s="202"/>
      <c r="U2" s="202"/>
      <c r="V2" s="202"/>
      <c r="W2" s="202"/>
      <c r="X2" s="202"/>
      <c r="Y2" s="202"/>
      <c r="Z2" s="202" t="s">
        <v>3</v>
      </c>
      <c r="AA2" s="202"/>
      <c r="AB2" s="202"/>
      <c r="AC2" s="202">
        <v>42398</v>
      </c>
      <c r="AD2" s="202"/>
      <c r="AE2" s="202"/>
      <c r="AF2" s="202" t="s">
        <v>2</v>
      </c>
      <c r="AG2" s="202"/>
      <c r="AH2" s="202"/>
      <c r="AI2" s="202" t="s">
        <v>6</v>
      </c>
      <c r="AJ2" s="202"/>
      <c r="AK2" s="202"/>
      <c r="AL2" s="203"/>
    </row>
    <row r="3" spans="1:38" s="1" customFormat="1" ht="13.5" customHeight="1">
      <c r="A3" s="209"/>
      <c r="B3" s="210"/>
      <c r="C3" s="210"/>
      <c r="D3" s="210"/>
      <c r="E3" s="210"/>
      <c r="F3" s="210"/>
      <c r="G3" s="210"/>
      <c r="H3" s="211"/>
      <c r="I3" s="157"/>
      <c r="J3" s="158"/>
      <c r="K3" s="158"/>
      <c r="L3" s="158"/>
      <c r="M3" s="158"/>
      <c r="N3" s="158"/>
      <c r="O3" s="159"/>
      <c r="P3" s="204"/>
      <c r="Q3" s="205"/>
      <c r="R3" s="205"/>
      <c r="S3" s="205"/>
      <c r="T3" s="205"/>
      <c r="U3" s="205"/>
      <c r="V3" s="205"/>
      <c r="W3" s="205"/>
      <c r="X3" s="205"/>
      <c r="Y3" s="205"/>
      <c r="Z3" s="205" t="s">
        <v>8</v>
      </c>
      <c r="AA3" s="205"/>
      <c r="AB3" s="205"/>
      <c r="AC3" s="205"/>
      <c r="AD3" s="205"/>
      <c r="AE3" s="205"/>
      <c r="AF3" s="205" t="s">
        <v>4</v>
      </c>
      <c r="AG3" s="205"/>
      <c r="AH3" s="205"/>
      <c r="AI3" s="205"/>
      <c r="AJ3" s="205"/>
      <c r="AK3" s="205"/>
      <c r="AL3" s="206"/>
    </row>
    <row r="4" spans="1:38" s="1" customFormat="1" ht="13.5" customHeight="1">
      <c r="A4" s="24" t="s">
        <v>26</v>
      </c>
      <c r="B4" s="31"/>
      <c r="C4" s="25"/>
      <c r="D4" s="25"/>
      <c r="E4" s="33" t="str">
        <f>目次!D8</f>
        <v>５．２．１．１　被災状況CSV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24" t="s">
        <v>27</v>
      </c>
      <c r="Q4" s="31"/>
      <c r="R4" s="25"/>
      <c r="S4" s="25"/>
      <c r="T4" s="248" t="s">
        <v>28</v>
      </c>
      <c r="U4" s="249"/>
      <c r="V4" s="249"/>
      <c r="W4" s="249"/>
      <c r="X4" s="250"/>
      <c r="Y4" s="35"/>
      <c r="Z4" s="36"/>
      <c r="AA4" s="36"/>
      <c r="AB4" s="36"/>
      <c r="AC4" s="37"/>
      <c r="AD4" s="37"/>
      <c r="AE4" s="37"/>
      <c r="AF4" s="36"/>
      <c r="AG4" s="36"/>
      <c r="AH4" s="36"/>
      <c r="AI4" s="36"/>
      <c r="AJ4" s="37"/>
      <c r="AK4" s="37"/>
      <c r="AL4" s="38"/>
    </row>
    <row r="5" spans="1:38" s="40" customFormat="1" ht="13.5" customHeight="1">
      <c r="A5" s="6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66"/>
    </row>
    <row r="6" spans="1:38" s="40" customFormat="1" ht="13.5" customHeight="1">
      <c r="A6" s="67"/>
      <c r="B6" s="41" t="s">
        <v>46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23"/>
      <c r="AE6" s="23"/>
      <c r="AF6" s="23"/>
      <c r="AG6" s="23"/>
      <c r="AH6" s="23"/>
      <c r="AI6" s="23"/>
      <c r="AJ6" s="23"/>
      <c r="AK6" s="23"/>
      <c r="AL6" s="68"/>
    </row>
    <row r="7" spans="1:38" s="40" customFormat="1" ht="13.5" customHeight="1">
      <c r="A7" s="67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23"/>
      <c r="AE7" s="23"/>
      <c r="AF7" s="23"/>
      <c r="AG7" s="23"/>
      <c r="AH7" s="23"/>
      <c r="AI7" s="23"/>
      <c r="AJ7" s="23"/>
      <c r="AK7" s="23"/>
      <c r="AL7" s="68"/>
    </row>
    <row r="8" spans="1:38" s="40" customFormat="1" ht="13.5" customHeight="1">
      <c r="A8" s="67"/>
      <c r="B8" s="120" t="s">
        <v>125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23"/>
      <c r="AE8" s="23"/>
      <c r="AF8" s="23"/>
      <c r="AG8" s="23"/>
      <c r="AH8" s="23"/>
      <c r="AI8" s="23"/>
      <c r="AJ8" s="23"/>
      <c r="AK8" s="23"/>
      <c r="AL8" s="68"/>
    </row>
    <row r="9" spans="1:38" s="40" customFormat="1" ht="13.5" customHeight="1">
      <c r="A9" s="67"/>
      <c r="B9" s="43" t="s">
        <v>34</v>
      </c>
      <c r="C9" s="44"/>
      <c r="D9" s="45"/>
      <c r="E9" s="45"/>
      <c r="F9" s="46"/>
      <c r="G9" s="44" t="s">
        <v>7</v>
      </c>
      <c r="H9" s="45"/>
      <c r="I9" s="45"/>
      <c r="J9" s="45"/>
      <c r="K9" s="45"/>
      <c r="L9" s="45"/>
      <c r="M9" s="45"/>
      <c r="N9" s="45"/>
      <c r="O9" s="46"/>
      <c r="P9" s="47" t="s">
        <v>36</v>
      </c>
      <c r="Q9" s="45"/>
      <c r="R9" s="45"/>
      <c r="S9" s="45"/>
      <c r="T9" s="45"/>
      <c r="U9" s="45"/>
      <c r="V9" s="46"/>
      <c r="W9" s="47" t="s">
        <v>37</v>
      </c>
      <c r="X9" s="45"/>
      <c r="Y9" s="45"/>
      <c r="Z9" s="45"/>
      <c r="AA9" s="45"/>
      <c r="AB9" s="45"/>
      <c r="AC9" s="45"/>
      <c r="AD9" s="45"/>
      <c r="AE9" s="45"/>
      <c r="AF9" s="46"/>
      <c r="AG9" s="23"/>
      <c r="AH9" s="23"/>
      <c r="AI9" s="23"/>
      <c r="AJ9" s="23"/>
      <c r="AK9" s="23"/>
      <c r="AL9" s="68"/>
    </row>
    <row r="10" spans="1:38" s="23" customFormat="1" ht="13.5" customHeight="1">
      <c r="A10" s="67"/>
      <c r="B10" s="295" t="s">
        <v>35</v>
      </c>
      <c r="C10" s="296"/>
      <c r="D10" s="296"/>
      <c r="E10" s="296"/>
      <c r="F10" s="297"/>
      <c r="G10" s="298" t="s">
        <v>118</v>
      </c>
      <c r="H10" s="299"/>
      <c r="I10" s="299"/>
      <c r="J10" s="299"/>
      <c r="K10" s="299"/>
      <c r="L10" s="299"/>
      <c r="M10" s="299"/>
      <c r="N10" s="299"/>
      <c r="O10" s="300"/>
      <c r="P10" s="301" t="s">
        <v>126</v>
      </c>
      <c r="Q10" s="302"/>
      <c r="R10" s="302"/>
      <c r="S10" s="302"/>
      <c r="T10" s="302"/>
      <c r="U10" s="302"/>
      <c r="V10" s="303"/>
      <c r="W10" s="98" t="s">
        <v>127</v>
      </c>
      <c r="X10" s="99"/>
      <c r="Y10" s="99"/>
      <c r="Z10" s="99"/>
      <c r="AA10" s="99"/>
      <c r="AB10" s="99"/>
      <c r="AC10" s="99"/>
      <c r="AD10" s="99"/>
      <c r="AE10" s="99"/>
      <c r="AF10" s="100"/>
      <c r="AL10" s="68"/>
    </row>
    <row r="11" spans="1:38" s="23" customFormat="1" ht="13.5" customHeight="1">
      <c r="A11" s="67"/>
      <c r="B11" s="295" t="s">
        <v>57</v>
      </c>
      <c r="C11" s="296"/>
      <c r="D11" s="296"/>
      <c r="E11" s="296"/>
      <c r="F11" s="297"/>
      <c r="G11" s="310" t="s">
        <v>164</v>
      </c>
      <c r="H11" s="311"/>
      <c r="I11" s="311"/>
      <c r="J11" s="311"/>
      <c r="K11" s="311"/>
      <c r="L11" s="311"/>
      <c r="M11" s="311"/>
      <c r="N11" s="311"/>
      <c r="O11" s="312"/>
      <c r="P11" s="301" t="s">
        <v>128</v>
      </c>
      <c r="Q11" s="302"/>
      <c r="R11" s="302"/>
      <c r="S11" s="302"/>
      <c r="T11" s="302"/>
      <c r="U11" s="302"/>
      <c r="V11" s="303"/>
      <c r="W11" s="98"/>
      <c r="X11" s="99"/>
      <c r="Y11" s="99"/>
      <c r="Z11" s="99"/>
      <c r="AA11" s="99"/>
      <c r="AB11" s="99"/>
      <c r="AC11" s="99"/>
      <c r="AD11" s="99"/>
      <c r="AE11" s="99"/>
      <c r="AF11" s="100"/>
      <c r="AL11" s="68"/>
    </row>
    <row r="12" spans="1:38" s="23" customFormat="1" ht="13.5" customHeight="1">
      <c r="A12" s="67"/>
      <c r="B12" s="295" t="s">
        <v>119</v>
      </c>
      <c r="C12" s="296"/>
      <c r="D12" s="296"/>
      <c r="E12" s="296"/>
      <c r="F12" s="297"/>
      <c r="G12" s="298" t="s">
        <v>121</v>
      </c>
      <c r="H12" s="299"/>
      <c r="I12" s="299"/>
      <c r="J12" s="299"/>
      <c r="K12" s="299"/>
      <c r="L12" s="299"/>
      <c r="M12" s="299"/>
      <c r="N12" s="299"/>
      <c r="O12" s="300"/>
      <c r="P12" s="301" t="s">
        <v>128</v>
      </c>
      <c r="Q12" s="302"/>
      <c r="R12" s="302"/>
      <c r="S12" s="302"/>
      <c r="T12" s="302"/>
      <c r="U12" s="302"/>
      <c r="V12" s="303"/>
      <c r="W12" s="98"/>
      <c r="X12" s="99"/>
      <c r="Y12" s="99"/>
      <c r="Z12" s="99"/>
      <c r="AA12" s="99"/>
      <c r="AB12" s="99"/>
      <c r="AC12" s="99"/>
      <c r="AD12" s="99"/>
      <c r="AE12" s="99"/>
      <c r="AF12" s="100"/>
      <c r="AL12" s="68"/>
    </row>
    <row r="13" spans="1:38" s="23" customFormat="1" ht="13.5" customHeight="1">
      <c r="A13" s="67"/>
      <c r="B13" s="295" t="s">
        <v>120</v>
      </c>
      <c r="C13" s="296"/>
      <c r="D13" s="296"/>
      <c r="E13" s="296"/>
      <c r="F13" s="297"/>
      <c r="G13" s="298" t="s">
        <v>122</v>
      </c>
      <c r="H13" s="299"/>
      <c r="I13" s="299"/>
      <c r="J13" s="299"/>
      <c r="K13" s="299"/>
      <c r="L13" s="299"/>
      <c r="M13" s="299"/>
      <c r="N13" s="299"/>
      <c r="O13" s="300"/>
      <c r="P13" s="301" t="s">
        <v>128</v>
      </c>
      <c r="Q13" s="302"/>
      <c r="R13" s="302"/>
      <c r="S13" s="302"/>
      <c r="T13" s="302"/>
      <c r="U13" s="302"/>
      <c r="V13" s="303"/>
      <c r="W13" s="98"/>
      <c r="X13" s="99"/>
      <c r="Y13" s="99"/>
      <c r="Z13" s="99"/>
      <c r="AA13" s="99"/>
      <c r="AB13" s="99"/>
      <c r="AC13" s="99"/>
      <c r="AD13" s="99"/>
      <c r="AE13" s="99"/>
      <c r="AF13" s="100"/>
      <c r="AL13" s="68"/>
    </row>
    <row r="14" spans="1:38" s="40" customFormat="1" ht="13.5" customHeight="1">
      <c r="A14" s="67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68"/>
    </row>
    <row r="15" spans="1:38" s="40" customFormat="1" ht="13.5" customHeight="1">
      <c r="A15" s="67"/>
      <c r="B15" s="120" t="s">
        <v>129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23"/>
      <c r="AE15" s="23"/>
      <c r="AF15" s="23"/>
      <c r="AG15" s="23"/>
      <c r="AH15" s="23"/>
      <c r="AI15" s="23"/>
      <c r="AJ15" s="23"/>
      <c r="AK15" s="23"/>
      <c r="AL15" s="68"/>
    </row>
    <row r="16" spans="1:38" s="40" customFormat="1" ht="13.5" customHeight="1">
      <c r="A16" s="67"/>
      <c r="B16" s="43" t="s">
        <v>34</v>
      </c>
      <c r="C16" s="44"/>
      <c r="D16" s="45"/>
      <c r="E16" s="45"/>
      <c r="F16" s="46"/>
      <c r="G16" s="44" t="s">
        <v>7</v>
      </c>
      <c r="H16" s="45"/>
      <c r="I16" s="45"/>
      <c r="J16" s="45"/>
      <c r="K16" s="45"/>
      <c r="L16" s="45"/>
      <c r="M16" s="45"/>
      <c r="N16" s="45"/>
      <c r="O16" s="46"/>
      <c r="P16" s="47" t="s">
        <v>36</v>
      </c>
      <c r="Q16" s="45"/>
      <c r="R16" s="45"/>
      <c r="S16" s="45"/>
      <c r="T16" s="45"/>
      <c r="U16" s="45"/>
      <c r="V16" s="46"/>
      <c r="W16" s="47" t="s">
        <v>37</v>
      </c>
      <c r="X16" s="45"/>
      <c r="Y16" s="45"/>
      <c r="Z16" s="45"/>
      <c r="AA16" s="45"/>
      <c r="AB16" s="45"/>
      <c r="AC16" s="45"/>
      <c r="AD16" s="45"/>
      <c r="AE16" s="45"/>
      <c r="AF16" s="46"/>
      <c r="AG16" s="23"/>
      <c r="AH16" s="23"/>
      <c r="AI16" s="23"/>
      <c r="AJ16" s="23"/>
      <c r="AK16" s="23"/>
      <c r="AL16" s="68"/>
    </row>
    <row r="17" spans="1:38" s="23" customFormat="1" ht="13.5" customHeight="1">
      <c r="A17" s="67"/>
      <c r="B17" s="304" t="s">
        <v>35</v>
      </c>
      <c r="C17" s="305"/>
      <c r="D17" s="305"/>
      <c r="E17" s="305"/>
      <c r="F17" s="306"/>
      <c r="G17" s="265" t="s">
        <v>118</v>
      </c>
      <c r="H17" s="288"/>
      <c r="I17" s="288"/>
      <c r="J17" s="288"/>
      <c r="K17" s="288"/>
      <c r="L17" s="288"/>
      <c r="M17" s="288"/>
      <c r="N17" s="288"/>
      <c r="O17" s="289"/>
      <c r="P17" s="307" t="s">
        <v>126</v>
      </c>
      <c r="Q17" s="308"/>
      <c r="R17" s="308"/>
      <c r="S17" s="308"/>
      <c r="T17" s="308"/>
      <c r="U17" s="308"/>
      <c r="V17" s="309"/>
      <c r="W17" s="265" t="s">
        <v>148</v>
      </c>
      <c r="X17" s="288"/>
      <c r="Y17" s="288"/>
      <c r="Z17" s="288"/>
      <c r="AA17" s="288"/>
      <c r="AB17" s="288"/>
      <c r="AC17" s="288"/>
      <c r="AD17" s="288"/>
      <c r="AE17" s="288"/>
      <c r="AF17" s="289"/>
      <c r="AL17" s="68"/>
    </row>
    <row r="18" spans="1:38" s="23" customFormat="1" ht="13.5" customHeight="1">
      <c r="A18" s="67"/>
      <c r="B18" s="121"/>
      <c r="C18" s="122"/>
      <c r="D18" s="122"/>
      <c r="E18" s="122"/>
      <c r="F18" s="123"/>
      <c r="G18" s="119"/>
      <c r="H18" s="127"/>
      <c r="I18" s="127"/>
      <c r="J18" s="127"/>
      <c r="K18" s="127"/>
      <c r="L18" s="127"/>
      <c r="M18" s="127"/>
      <c r="N18" s="127"/>
      <c r="O18" s="128"/>
      <c r="P18" s="132"/>
      <c r="Q18" s="133"/>
      <c r="R18" s="133"/>
      <c r="S18" s="133"/>
      <c r="T18" s="133"/>
      <c r="U18" s="133"/>
      <c r="V18" s="134"/>
      <c r="W18" s="285"/>
      <c r="X18" s="290"/>
      <c r="Y18" s="290"/>
      <c r="Z18" s="290"/>
      <c r="AA18" s="290"/>
      <c r="AB18" s="290"/>
      <c r="AC18" s="290"/>
      <c r="AD18" s="290"/>
      <c r="AE18" s="290"/>
      <c r="AF18" s="291"/>
      <c r="AL18" s="68"/>
    </row>
    <row r="19" spans="1:38" s="23" customFormat="1" ht="13.5" customHeight="1">
      <c r="A19" s="67"/>
      <c r="B19" s="121"/>
      <c r="C19" s="122"/>
      <c r="D19" s="122"/>
      <c r="E19" s="122"/>
      <c r="F19" s="123"/>
      <c r="G19" s="138"/>
      <c r="H19" s="139"/>
      <c r="I19" s="139"/>
      <c r="J19" s="139"/>
      <c r="K19" s="139"/>
      <c r="L19" s="139"/>
      <c r="M19" s="139"/>
      <c r="N19" s="139"/>
      <c r="O19" s="140"/>
      <c r="P19" s="132"/>
      <c r="Q19" s="133"/>
      <c r="R19" s="133"/>
      <c r="S19" s="133"/>
      <c r="T19" s="133"/>
      <c r="U19" s="133"/>
      <c r="V19" s="134"/>
      <c r="W19" s="285"/>
      <c r="X19" s="290"/>
      <c r="Y19" s="290"/>
      <c r="Z19" s="290"/>
      <c r="AA19" s="290"/>
      <c r="AB19" s="290"/>
      <c r="AC19" s="290"/>
      <c r="AD19" s="290"/>
      <c r="AE19" s="290"/>
      <c r="AF19" s="291"/>
      <c r="AL19" s="68"/>
    </row>
    <row r="20" spans="1:38" s="23" customFormat="1" ht="13.5" customHeight="1">
      <c r="A20" s="67"/>
      <c r="B20" s="124"/>
      <c r="C20" s="125"/>
      <c r="D20" s="125"/>
      <c r="E20" s="125"/>
      <c r="F20" s="126"/>
      <c r="G20" s="129"/>
      <c r="H20" s="130"/>
      <c r="I20" s="130"/>
      <c r="J20" s="130"/>
      <c r="K20" s="130"/>
      <c r="L20" s="130"/>
      <c r="M20" s="130"/>
      <c r="N20" s="130"/>
      <c r="O20" s="131"/>
      <c r="P20" s="135"/>
      <c r="Q20" s="136"/>
      <c r="R20" s="136"/>
      <c r="S20" s="136"/>
      <c r="T20" s="136"/>
      <c r="U20" s="136"/>
      <c r="V20" s="137"/>
      <c r="W20" s="292"/>
      <c r="X20" s="293"/>
      <c r="Y20" s="293"/>
      <c r="Z20" s="293"/>
      <c r="AA20" s="293"/>
      <c r="AB20" s="293"/>
      <c r="AC20" s="293"/>
      <c r="AD20" s="293"/>
      <c r="AE20" s="293"/>
      <c r="AF20" s="294"/>
      <c r="AL20" s="68"/>
    </row>
    <row r="21" spans="1:38" s="23" customFormat="1" ht="13.5" customHeight="1">
      <c r="A21" s="67"/>
      <c r="B21" s="295" t="s">
        <v>57</v>
      </c>
      <c r="C21" s="296"/>
      <c r="D21" s="296"/>
      <c r="E21" s="296"/>
      <c r="F21" s="297"/>
      <c r="G21" s="310" t="s">
        <v>164</v>
      </c>
      <c r="H21" s="311"/>
      <c r="I21" s="311"/>
      <c r="J21" s="311"/>
      <c r="K21" s="311"/>
      <c r="L21" s="311"/>
      <c r="M21" s="311"/>
      <c r="N21" s="311"/>
      <c r="O21" s="312"/>
      <c r="P21" s="301" t="s">
        <v>128</v>
      </c>
      <c r="Q21" s="302"/>
      <c r="R21" s="302"/>
      <c r="S21" s="302"/>
      <c r="T21" s="302"/>
      <c r="U21" s="302"/>
      <c r="V21" s="303"/>
      <c r="W21" s="98"/>
      <c r="X21" s="99"/>
      <c r="Y21" s="99"/>
      <c r="Z21" s="99"/>
      <c r="AA21" s="99"/>
      <c r="AB21" s="99"/>
      <c r="AC21" s="99"/>
      <c r="AD21" s="99"/>
      <c r="AE21" s="99"/>
      <c r="AF21" s="100"/>
      <c r="AL21" s="68"/>
    </row>
    <row r="22" spans="1:38" s="23" customFormat="1" ht="13.5" customHeight="1">
      <c r="A22" s="67"/>
      <c r="B22" s="295" t="s">
        <v>119</v>
      </c>
      <c r="C22" s="296"/>
      <c r="D22" s="296"/>
      <c r="E22" s="296"/>
      <c r="F22" s="297"/>
      <c r="G22" s="298" t="s">
        <v>121</v>
      </c>
      <c r="H22" s="299"/>
      <c r="I22" s="299"/>
      <c r="J22" s="299"/>
      <c r="K22" s="299"/>
      <c r="L22" s="299"/>
      <c r="M22" s="299"/>
      <c r="N22" s="299"/>
      <c r="O22" s="300"/>
      <c r="P22" s="301" t="s">
        <v>128</v>
      </c>
      <c r="Q22" s="302"/>
      <c r="R22" s="302"/>
      <c r="S22" s="302"/>
      <c r="T22" s="302"/>
      <c r="U22" s="302"/>
      <c r="V22" s="303"/>
      <c r="W22" s="98"/>
      <c r="X22" s="99"/>
      <c r="Y22" s="99"/>
      <c r="Z22" s="99"/>
      <c r="AA22" s="99"/>
      <c r="AB22" s="99"/>
      <c r="AC22" s="99"/>
      <c r="AD22" s="99"/>
      <c r="AE22" s="99"/>
      <c r="AF22" s="100"/>
      <c r="AL22" s="68"/>
    </row>
    <row r="23" spans="1:38" s="23" customFormat="1" ht="13.5" customHeight="1">
      <c r="A23" s="67"/>
      <c r="B23" s="295" t="s">
        <v>120</v>
      </c>
      <c r="C23" s="296"/>
      <c r="D23" s="296"/>
      <c r="E23" s="296"/>
      <c r="F23" s="297"/>
      <c r="G23" s="298" t="s">
        <v>122</v>
      </c>
      <c r="H23" s="299"/>
      <c r="I23" s="299"/>
      <c r="J23" s="299"/>
      <c r="K23" s="299"/>
      <c r="L23" s="299"/>
      <c r="M23" s="299"/>
      <c r="N23" s="299"/>
      <c r="O23" s="300"/>
      <c r="P23" s="301" t="s">
        <v>128</v>
      </c>
      <c r="Q23" s="302"/>
      <c r="R23" s="302"/>
      <c r="S23" s="302"/>
      <c r="T23" s="302"/>
      <c r="U23" s="302"/>
      <c r="V23" s="303"/>
      <c r="W23" s="98"/>
      <c r="X23" s="99"/>
      <c r="Y23" s="99"/>
      <c r="Z23" s="99"/>
      <c r="AA23" s="99"/>
      <c r="AB23" s="99"/>
      <c r="AC23" s="99"/>
      <c r="AD23" s="99"/>
      <c r="AE23" s="99"/>
      <c r="AF23" s="100"/>
      <c r="AL23" s="68"/>
    </row>
    <row r="24" spans="1:38" s="40" customFormat="1" ht="13.5" customHeight="1">
      <c r="A24" s="6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68"/>
    </row>
    <row r="25" spans="1:38" s="9" customFormat="1" ht="13.5" customHeight="1">
      <c r="A25" s="74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75"/>
    </row>
    <row r="26" spans="1:38" s="40" customFormat="1" ht="13.5" customHeight="1">
      <c r="A26" s="67"/>
      <c r="B26" s="41" t="s">
        <v>47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68"/>
    </row>
    <row r="27" spans="1:38" s="40" customFormat="1" ht="13.5" customHeight="1">
      <c r="A27" s="67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68"/>
    </row>
    <row r="28" spans="1:38" s="40" customFormat="1" ht="13.5" customHeight="1">
      <c r="A28" s="67"/>
      <c r="B28" s="49" t="s">
        <v>30</v>
      </c>
      <c r="C28" s="43" t="s">
        <v>1</v>
      </c>
      <c r="D28" s="44"/>
      <c r="E28" s="45"/>
      <c r="F28" s="45"/>
      <c r="G28" s="44"/>
      <c r="H28" s="45"/>
      <c r="I28" s="45"/>
      <c r="J28" s="46"/>
      <c r="K28" s="44" t="s">
        <v>38</v>
      </c>
      <c r="L28" s="45"/>
      <c r="M28" s="45"/>
      <c r="N28" s="45"/>
      <c r="O28" s="45"/>
      <c r="P28" s="45"/>
      <c r="Q28" s="45"/>
      <c r="R28" s="45"/>
      <c r="S28" s="46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68"/>
    </row>
    <row r="29" spans="1:38" s="23" customFormat="1" ht="13.5" customHeight="1">
      <c r="A29" s="67"/>
      <c r="B29" s="92">
        <v>1</v>
      </c>
      <c r="C29" s="93" t="s">
        <v>123</v>
      </c>
      <c r="D29" s="94"/>
      <c r="E29" s="94"/>
      <c r="F29" s="94"/>
      <c r="G29" s="94"/>
      <c r="H29" s="94"/>
      <c r="I29" s="94"/>
      <c r="J29" s="95"/>
      <c r="K29" s="53" t="s">
        <v>124</v>
      </c>
      <c r="L29" s="96"/>
      <c r="M29" s="96"/>
      <c r="N29" s="96"/>
      <c r="O29" s="96"/>
      <c r="P29" s="96"/>
      <c r="Q29" s="96"/>
      <c r="R29" s="96"/>
      <c r="S29" s="97"/>
      <c r="AL29" s="68"/>
    </row>
    <row r="30" spans="1:38" s="9" customFormat="1" ht="13.5" customHeight="1">
      <c r="A30" s="74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141" t="s">
        <v>147</v>
      </c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75"/>
    </row>
    <row r="31" spans="1:38" s="9" customFormat="1" ht="13.5" customHeight="1">
      <c r="A31" s="74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75"/>
    </row>
    <row r="32" spans="1:38" s="9" customFormat="1" ht="13.5" customHeight="1">
      <c r="A32" s="74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75"/>
    </row>
    <row r="33" spans="1:38" s="9" customFormat="1" ht="13.5" customHeight="1">
      <c r="A33" s="74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75"/>
    </row>
    <row r="34" spans="1:38" s="9" customFormat="1" ht="13.5" customHeight="1">
      <c r="A34" s="74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75"/>
    </row>
    <row r="35" spans="1:38" s="9" customFormat="1" ht="13.5" customHeight="1">
      <c r="A35" s="74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75"/>
    </row>
    <row r="36" spans="1:38" s="9" customFormat="1" ht="13.5" customHeight="1">
      <c r="A36" s="74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75"/>
    </row>
    <row r="37" spans="1:38" s="9" customFormat="1" ht="13.5" customHeight="1">
      <c r="A37" s="74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75"/>
    </row>
    <row r="38" spans="1:38" s="40" customFormat="1" ht="13.5" customHeight="1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1"/>
    </row>
    <row r="39" spans="1:38" s="9" customFormat="1" ht="13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9" customFormat="1" ht="13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9" customFormat="1" ht="13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9" customFormat="1" ht="13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9" customFormat="1" ht="13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s="9" customFormat="1" ht="13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s="9" customFormat="1" ht="13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9" customFormat="1" ht="13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s="9" customFormat="1" ht="13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s="9" customFormat="1" ht="13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s="9" customFormat="1" ht="13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s="9" customFormat="1" ht="13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s="9" customFormat="1" ht="13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s="9" customFormat="1" ht="13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s="9" customFormat="1" ht="13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s="9" customFormat="1" ht="13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s="9" customFormat="1" ht="13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pans="1:38" s="9" customFormat="1" ht="13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9" customFormat="1" ht="13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spans="1:38" s="9" customFormat="1" ht="13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spans="1:38" s="9" customFormat="1" ht="13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spans="1:38" s="9" customFormat="1" ht="13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s="9" customFormat="1" ht="13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spans="1:38" s="9" customFormat="1" ht="13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spans="1:38" s="9" customFormat="1" ht="13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spans="1:38" s="9" customFormat="1" ht="13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spans="1:38" s="9" customFormat="1" ht="13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spans="1:38" s="9" customFormat="1" ht="13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pans="1:38" s="9" customFormat="1" ht="13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9" customFormat="1" ht="13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9" customFormat="1" ht="13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9" customFormat="1" ht="13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9" customFormat="1" ht="13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9" customFormat="1" ht="13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9" customFormat="1" ht="13.5" customHeight="1"/>
    <row r="74" spans="1:38" s="9" customFormat="1" ht="13.5" customHeight="1"/>
    <row r="75" spans="1:38" s="9" customFormat="1" ht="13.5" customHeight="1"/>
    <row r="76" spans="1:38" s="9" customFormat="1" ht="13.5" customHeight="1"/>
  </sheetData>
  <mergeCells count="30">
    <mergeCell ref="B12:F12"/>
    <mergeCell ref="G12:O12"/>
    <mergeCell ref="P12:V12"/>
    <mergeCell ref="B13:F13"/>
    <mergeCell ref="G13:O13"/>
    <mergeCell ref="P13:V13"/>
    <mergeCell ref="B10:F10"/>
    <mergeCell ref="G10:O10"/>
    <mergeCell ref="P10:V10"/>
    <mergeCell ref="B11:F11"/>
    <mergeCell ref="G11:O11"/>
    <mergeCell ref="P11:V11"/>
    <mergeCell ref="P1:AL1"/>
    <mergeCell ref="A2:H3"/>
    <mergeCell ref="I2:O3"/>
    <mergeCell ref="P2:AL3"/>
    <mergeCell ref="T4:X4"/>
    <mergeCell ref="W17:AF20"/>
    <mergeCell ref="B22:F22"/>
    <mergeCell ref="G22:O22"/>
    <mergeCell ref="P22:V22"/>
    <mergeCell ref="B23:F23"/>
    <mergeCell ref="G23:O23"/>
    <mergeCell ref="P23:V23"/>
    <mergeCell ref="B17:F17"/>
    <mergeCell ref="G17:O17"/>
    <mergeCell ref="P17:V17"/>
    <mergeCell ref="B21:F21"/>
    <mergeCell ref="G21:O21"/>
    <mergeCell ref="P21:V21"/>
  </mergeCells>
  <phoneticPr fontId="2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scaleWithDoc="0" alignWithMargins="0">
    <oddFooter>&amp;C5.2.1-&amp;P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目次</vt:lpstr>
      <vt:lpstr>被災状況CSVV_1(ヘッダ)</vt:lpstr>
      <vt:lpstr>被災状況CSV_1(データ)</vt:lpstr>
      <vt:lpstr>被災状況CSV_2</vt:lpstr>
      <vt:lpstr>'被災状況CSV_1(データ)'!Print_Area</vt:lpstr>
      <vt:lpstr>被災状況CSV_2!Print_Area</vt:lpstr>
      <vt:lpstr>'被災状況CSVV_1(ヘッダ)'!Print_Area</vt:lpstr>
      <vt:lpstr>目次!Print_Area</vt:lpstr>
      <vt:lpstr>'被災状況CSV_1(データ)'!Print_Titles</vt:lpstr>
      <vt:lpstr>被災状況CSV_2!Print_Titles</vt:lpstr>
      <vt:lpstr>'被災状況CSVV_1(ヘッダ)'!Print_Titles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1001007105</dc:creator>
  <cp:lastModifiedBy>exeo</cp:lastModifiedBy>
  <cp:lastPrinted>2016-01-27T00:04:14Z</cp:lastPrinted>
  <dcterms:created xsi:type="dcterms:W3CDTF">2008-09-11T04:09:44Z</dcterms:created>
  <dcterms:modified xsi:type="dcterms:W3CDTF">2018-05-08T10:43:31Z</dcterms:modified>
</cp:coreProperties>
</file>