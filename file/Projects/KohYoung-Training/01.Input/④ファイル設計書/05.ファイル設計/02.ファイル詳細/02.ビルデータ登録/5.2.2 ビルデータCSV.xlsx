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13"/>
  <workbookPr codeName="ThisWorkbook"/>
  <mc:AlternateContent xmlns:mc="http://schemas.openxmlformats.org/markup-compatibility/2006">
    <mc:Choice Requires="x15">
      <x15ac:absPath xmlns:x15ac="http://schemas.microsoft.com/office/spreadsheetml/2010/11/ac" url="/Users/jackson/exeo/svn/trunk/03_設計書/④ファイル設計書/05.ファイル設計/02.ファイル詳細/02.ビルデータ登録/"/>
    </mc:Choice>
  </mc:AlternateContent>
  <xr:revisionPtr revIDLastSave="0" documentId="10_ncr:8100000_{F55AAEA0-650F-5648-8FA0-70227BA20E88}" xr6:coauthVersionLast="34" xr6:coauthVersionMax="34" xr10:uidLastSave="{00000000-0000-0000-0000-000000000000}"/>
  <bookViews>
    <workbookView xWindow="0" yWindow="460" windowWidth="28800" windowHeight="16380" tabRatio="869" activeTab="1" xr2:uid="{00000000-000D-0000-FFFF-FFFF00000000}"/>
  </bookViews>
  <sheets>
    <sheet name="目次" sheetId="1" r:id="rId1"/>
    <sheet name="ビルデータCSV_1(ヘッダ)" sheetId="25" r:id="rId2"/>
    <sheet name="ビルデータCSV_1(データ)" sheetId="26" r:id="rId3"/>
    <sheet name="ビルデータCSV_2" sheetId="27" r:id="rId4"/>
  </sheets>
  <externalReferences>
    <externalReference r:id="rId5"/>
  </externalReferences>
  <definedNames>
    <definedName name="_xlnm.Print_Area" localSheetId="2">'ビルデータCSV_1(データ)'!$A$1:$AL$94</definedName>
    <definedName name="_xlnm.Print_Area" localSheetId="1">'ビルデータCSV_1(ヘッダ)'!$A$1:$AL$128</definedName>
    <definedName name="_xlnm.Print_Area" localSheetId="3">ビルデータCSV_2!$A$1:$AL$38</definedName>
    <definedName name="_xlnm.Print_Area" localSheetId="0">目次!$A$1:$Y$56</definedName>
    <definedName name="_xlnm.Print_Titles" localSheetId="2">'ビルデータCSV_1(データ)'!$1:$4</definedName>
    <definedName name="_xlnm.Print_Titles" localSheetId="1">'ビルデータCSV_1(ヘッダ)'!$1:$4</definedName>
    <definedName name="_xlnm.Print_Titles" localSheetId="3">ビルデータCSV_2!$1:$4</definedName>
    <definedName name="Z_0BEAC79D_708F_45FD_A222_055D201B52D5_.wvu.PrintArea" localSheetId="0" hidden="1">目次!$A$1:$Y$56</definedName>
    <definedName name="Z_306D1AAA_0140_4D40_9745_D8F442D56CF2_.wvu.PrintArea" localSheetId="0" hidden="1">目次!$A$1:$Y$56</definedName>
    <definedName name="Z_BDBA9E3C_757D_4583_A236_21E32FC5642C_.wvu.PrintArea" localSheetId="0" hidden="1">目次!$A$1:$Y$56</definedName>
  </definedNames>
  <calcPr calcId="162913"/>
  <customWorkbookViews>
    <customWorkbookView name="y-sakaki - 個人用ビュー" guid="{BDBA9E3C-757D-4583-A236-21E32FC5642C}" mergeInterval="0" personalView="1" xWindow="12" yWindow="38" windowWidth="1014" windowHeight="695" tabRatio="870" activeSheetId="20"/>
    <customWorkbookView name="densei - 個人用ビュー" guid="{306D1AAA-0140-4D40-9745-D8F442D56CF2}" mergeInterval="0" personalView="1" maximized="1" xWindow="1" yWindow="1" windowWidth="652" windowHeight="802" tabRatio="870" activeSheetId="1"/>
    <customWorkbookView name="1001010090 - 個人用ビュー" guid="{0BEAC79D-708F-45FD-A222-055D201B52D5}" mergeInterval="0" personalView="1" maximized="1" windowWidth="1020" windowHeight="577" tabRatio="870" activeSheetId="7"/>
  </customWorkbookViews>
</workbook>
</file>

<file path=xl/calcChain.xml><?xml version="1.0" encoding="utf-8"?>
<calcChain xmlns="http://schemas.openxmlformats.org/spreadsheetml/2006/main">
  <c r="B71" i="25" l="1"/>
  <c r="B63" i="26"/>
  <c r="B61" i="26"/>
  <c r="E4" i="27" l="1"/>
  <c r="P2" i="27"/>
  <c r="I2" i="27"/>
  <c r="A2" i="27"/>
  <c r="C101" i="25" l="1"/>
  <c r="C99" i="25"/>
  <c r="C19" i="25" l="1"/>
  <c r="B23" i="25" l="1"/>
  <c r="C21" i="25"/>
  <c r="B14" i="26"/>
  <c r="C23" i="25" l="1"/>
  <c r="B16" i="26" l="1"/>
  <c r="B18" i="26" s="1"/>
  <c r="B20" i="26" s="1"/>
  <c r="B22" i="26" s="1"/>
  <c r="B24" i="26" s="1"/>
  <c r="B26" i="26" s="1"/>
  <c r="B12" i="25"/>
  <c r="B14" i="25" s="1"/>
  <c r="B16" i="25" s="1"/>
  <c r="A2" i="26"/>
  <c r="B29" i="26" l="1"/>
  <c r="B25" i="25"/>
  <c r="B31" i="26" l="1"/>
  <c r="B27" i="25"/>
  <c r="C25" i="25"/>
  <c r="A4" i="1"/>
  <c r="D8" i="1"/>
  <c r="E4" i="26" l="1"/>
  <c r="B33" i="26"/>
  <c r="B35" i="26" s="1"/>
  <c r="B37" i="26" s="1"/>
  <c r="B39" i="26" s="1"/>
  <c r="B41" i="26" s="1"/>
  <c r="B49" i="26" s="1"/>
  <c r="B51" i="26" s="1"/>
  <c r="B53" i="26" s="1"/>
  <c r="B55" i="26" s="1"/>
  <c r="B57" i="26" s="1"/>
  <c r="B59" i="26" s="1"/>
  <c r="P2" i="26"/>
  <c r="B29" i="25"/>
  <c r="C27" i="25"/>
  <c r="D34" i="1"/>
  <c r="D32" i="1"/>
  <c r="D30" i="1"/>
  <c r="D28" i="1"/>
  <c r="D26" i="1"/>
  <c r="D24" i="1"/>
  <c r="D22" i="1"/>
  <c r="D20" i="1"/>
  <c r="D18" i="1"/>
  <c r="D16" i="1"/>
  <c r="D14" i="1"/>
  <c r="D12" i="1"/>
  <c r="D10" i="1"/>
  <c r="B65" i="26" l="1"/>
  <c r="B67" i="26" s="1"/>
  <c r="B69" i="26" s="1"/>
  <c r="B71" i="26" s="1"/>
  <c r="B73" i="26" s="1"/>
  <c r="B75" i="26" s="1"/>
  <c r="B77" i="26" s="1"/>
  <c r="B79" i="26" s="1"/>
  <c r="B81" i="26" s="1"/>
  <c r="B83" i="26" s="1"/>
  <c r="B85" i="26" s="1"/>
  <c r="B31" i="25"/>
  <c r="B33" i="25" s="1"/>
  <c r="C29" i="25"/>
  <c r="E4" i="25"/>
  <c r="A2" i="25"/>
  <c r="D2" i="1"/>
  <c r="P2" i="25"/>
  <c r="I2" i="26" l="1"/>
  <c r="C33" i="25"/>
  <c r="B35" i="25"/>
  <c r="C35" i="25" s="1"/>
  <c r="C31" i="25"/>
  <c r="I2" i="25"/>
  <c r="B37" i="25" l="1"/>
  <c r="C37" i="25" l="1"/>
  <c r="B39" i="25"/>
  <c r="B47" i="25" s="1"/>
  <c r="B49" i="25" s="1"/>
  <c r="C39" i="25" l="1"/>
  <c r="C47" i="25"/>
  <c r="B51" i="25"/>
  <c r="C49" i="25"/>
  <c r="B53" i="25" l="1"/>
  <c r="C51" i="25"/>
  <c r="B55" i="25" l="1"/>
  <c r="C53" i="25"/>
  <c r="B57" i="25" l="1"/>
  <c r="C55" i="25"/>
  <c r="B59" i="25" l="1"/>
  <c r="C57" i="25"/>
  <c r="B61" i="25" l="1"/>
  <c r="C59" i="25"/>
  <c r="B63" i="25" l="1"/>
  <c r="C61" i="25"/>
  <c r="B65" i="25" l="1"/>
  <c r="C63" i="25"/>
  <c r="B67" i="25" l="1"/>
  <c r="B69" i="25" s="1"/>
  <c r="C69" i="25" s="1"/>
  <c r="C65" i="25"/>
  <c r="C67" i="25" l="1"/>
  <c r="B73" i="25" l="1"/>
  <c r="C71" i="25"/>
  <c r="B75" i="25" l="1"/>
  <c r="C73" i="25"/>
  <c r="B77" i="25" l="1"/>
  <c r="C75" i="25"/>
  <c r="B85" i="25" l="1"/>
  <c r="C77" i="25"/>
  <c r="B87" i="25" l="1"/>
  <c r="B89" i="25" s="1"/>
  <c r="C85" i="25"/>
  <c r="C89" i="25" l="1"/>
  <c r="B91" i="25"/>
  <c r="B93" i="25" s="1"/>
  <c r="C87" i="25"/>
  <c r="B95" i="25" l="1"/>
  <c r="C93" i="25"/>
  <c r="C91" i="25"/>
  <c r="B97" i="25" l="1"/>
  <c r="C95" i="25"/>
  <c r="C103" i="25" l="1"/>
  <c r="C97" i="25"/>
</calcChain>
</file>

<file path=xl/sharedStrings.xml><?xml version="1.0" encoding="utf-8"?>
<sst xmlns="http://schemas.openxmlformats.org/spreadsheetml/2006/main" count="577" uniqueCount="213">
  <si>
    <t>章番号</t>
    <rPh sb="0" eb="1">
      <t>ショウ</t>
    </rPh>
    <rPh sb="1" eb="3">
      <t>バンゴウ</t>
    </rPh>
    <phoneticPr fontId="2"/>
  </si>
  <si>
    <t>機能名</t>
    <rPh sb="0" eb="2">
      <t>キノウ</t>
    </rPh>
    <rPh sb="2" eb="3">
      <t>メイ</t>
    </rPh>
    <phoneticPr fontId="2"/>
  </si>
  <si>
    <t>作成者</t>
    <rPh sb="0" eb="3">
      <t>サクセイシャ</t>
    </rPh>
    <phoneticPr fontId="2"/>
  </si>
  <si>
    <t>作成日</t>
    <rPh sb="0" eb="3">
      <t>サクセイビ</t>
    </rPh>
    <phoneticPr fontId="2"/>
  </si>
  <si>
    <t>更新者</t>
    <rPh sb="0" eb="2">
      <t>コウシン</t>
    </rPh>
    <rPh sb="2" eb="3">
      <t>シャ</t>
    </rPh>
    <phoneticPr fontId="2"/>
  </si>
  <si>
    <t>システム名</t>
    <rPh sb="4" eb="5">
      <t>メイ</t>
    </rPh>
    <phoneticPr fontId="2"/>
  </si>
  <si>
    <t>協和エクシオ</t>
    <rPh sb="0" eb="2">
      <t>キョウワ</t>
    </rPh>
    <phoneticPr fontId="2"/>
  </si>
  <si>
    <t>項目名</t>
    <rPh sb="0" eb="2">
      <t>コウモク</t>
    </rPh>
    <rPh sb="2" eb="3">
      <t>メイ</t>
    </rPh>
    <phoneticPr fontId="2"/>
  </si>
  <si>
    <t>更新日</t>
    <rPh sb="0" eb="3">
      <t>コウシンビ</t>
    </rPh>
    <phoneticPr fontId="2"/>
  </si>
  <si>
    <t>章</t>
    <rPh sb="0" eb="1">
      <t>ショウ</t>
    </rPh>
    <phoneticPr fontId="2"/>
  </si>
  <si>
    <t>節</t>
    <rPh sb="0" eb="1">
      <t>セツ</t>
    </rPh>
    <phoneticPr fontId="2"/>
  </si>
  <si>
    <t>項</t>
    <rPh sb="0" eb="1">
      <t>コウ</t>
    </rPh>
    <phoneticPr fontId="2"/>
  </si>
  <si>
    <t>段</t>
    <rPh sb="0" eb="1">
      <t>ダン</t>
    </rPh>
    <phoneticPr fontId="2"/>
  </si>
  <si>
    <t>番</t>
    <rPh sb="0" eb="1">
      <t>バン</t>
    </rPh>
    <phoneticPr fontId="2"/>
  </si>
  <si>
    <t>機能名</t>
    <rPh sb="0" eb="2">
      <t>キノウ</t>
    </rPh>
    <rPh sb="2" eb="3">
      <t>メイ</t>
    </rPh>
    <phoneticPr fontId="2"/>
  </si>
  <si>
    <t>章分類</t>
    <rPh sb="0" eb="1">
      <t>ショウ</t>
    </rPh>
    <rPh sb="1" eb="3">
      <t>ブンルイ</t>
    </rPh>
    <phoneticPr fontId="2"/>
  </si>
  <si>
    <t>節分類</t>
    <rPh sb="0" eb="1">
      <t>セツ</t>
    </rPh>
    <rPh sb="1" eb="3">
      <t>ブンルイ</t>
    </rPh>
    <phoneticPr fontId="2"/>
  </si>
  <si>
    <t>章番号</t>
  </si>
  <si>
    <t>機能名</t>
  </si>
  <si>
    <t>Ｖｅｒ.</t>
    <phoneticPr fontId="2"/>
  </si>
  <si>
    <t>1.0</t>
    <phoneticPr fontId="2"/>
  </si>
  <si>
    <t>項目説明</t>
    <rPh sb="0" eb="2">
      <t>コウモク</t>
    </rPh>
    <rPh sb="2" eb="4">
      <t>セツメイ</t>
    </rPh>
    <phoneticPr fontId="2"/>
  </si>
  <si>
    <t>属性</t>
    <rPh sb="0" eb="2">
      <t>ゾクセイ</t>
    </rPh>
    <phoneticPr fontId="2"/>
  </si>
  <si>
    <t>ファイル設計</t>
    <rPh sb="4" eb="6">
      <t>セッケイ</t>
    </rPh>
    <phoneticPr fontId="2"/>
  </si>
  <si>
    <t>ファイル詳細</t>
    <phoneticPr fontId="2"/>
  </si>
  <si>
    <t>ファイル名</t>
    <rPh sb="4" eb="5">
      <t>メイ</t>
    </rPh>
    <phoneticPr fontId="2"/>
  </si>
  <si>
    <t>出力形態</t>
    <rPh sb="0" eb="2">
      <t>シュツリョク</t>
    </rPh>
    <rPh sb="2" eb="4">
      <t>ケイタイ</t>
    </rPh>
    <phoneticPr fontId="2"/>
  </si>
  <si>
    <t>CSV</t>
    <phoneticPr fontId="2"/>
  </si>
  <si>
    <t>－</t>
    <phoneticPr fontId="2"/>
  </si>
  <si>
    <t>№</t>
    <phoneticPr fontId="2"/>
  </si>
  <si>
    <t>フォーマット</t>
    <phoneticPr fontId="2"/>
  </si>
  <si>
    <t>必須</t>
    <rPh sb="0" eb="2">
      <t>ヒッス</t>
    </rPh>
    <phoneticPr fontId="2"/>
  </si>
  <si>
    <t>桁数</t>
    <rPh sb="0" eb="1">
      <t>ケタ</t>
    </rPh>
    <rPh sb="1" eb="2">
      <t>カズ</t>
    </rPh>
    <phoneticPr fontId="2"/>
  </si>
  <si>
    <t>ソート順序</t>
    <rPh sb="3" eb="5">
      <t>ジュンジョ</t>
    </rPh>
    <phoneticPr fontId="2"/>
  </si>
  <si>
    <t>昇順/降順</t>
    <rPh sb="0" eb="2">
      <t>ショウジュン</t>
    </rPh>
    <rPh sb="3" eb="5">
      <t>コウジュン</t>
    </rPh>
    <phoneticPr fontId="2"/>
  </si>
  <si>
    <t>備考</t>
    <rPh sb="0" eb="2">
      <t>ビコウ</t>
    </rPh>
    <phoneticPr fontId="2"/>
  </si>
  <si>
    <t>画面名称</t>
    <rPh sb="0" eb="2">
      <t>ガメン</t>
    </rPh>
    <rPh sb="2" eb="4">
      <t>メイショウ</t>
    </rPh>
    <phoneticPr fontId="2"/>
  </si>
  <si>
    <t>-</t>
    <phoneticPr fontId="2"/>
  </si>
  <si>
    <t>数字</t>
    <rPh sb="0" eb="2">
      <t>スウジ</t>
    </rPh>
    <phoneticPr fontId="2"/>
  </si>
  <si>
    <t>【データエリア】</t>
    <phoneticPr fontId="2"/>
  </si>
  <si>
    <t>○</t>
    <phoneticPr fontId="2"/>
  </si>
  <si>
    <t>全半角</t>
    <phoneticPr fontId="2"/>
  </si>
  <si>
    <t>ビルデータ登録</t>
    <rPh sb="5" eb="7">
      <t>トウロク</t>
    </rPh>
    <phoneticPr fontId="2"/>
  </si>
  <si>
    <t>登録日時</t>
    <rPh sb="0" eb="2">
      <t>トウロク</t>
    </rPh>
    <rPh sb="2" eb="4">
      <t>ニチジ</t>
    </rPh>
    <phoneticPr fontId="2"/>
  </si>
  <si>
    <t>yyyy/mm/dd hh:mm</t>
    <phoneticPr fontId="2"/>
  </si>
  <si>
    <t>－</t>
    <phoneticPr fontId="2"/>
  </si>
  <si>
    <t>【2】ソート条件　1/1</t>
    <rPh sb="6" eb="8">
      <t>ジョウケン</t>
    </rPh>
    <phoneticPr fontId="2"/>
  </si>
  <si>
    <t>データ数により動的に行を追加</t>
    <rPh sb="3" eb="4">
      <t>スウ</t>
    </rPh>
    <rPh sb="7" eb="9">
      <t>ドウテキ</t>
    </rPh>
    <rPh sb="10" eb="11">
      <t>ギョウ</t>
    </rPh>
    <rPh sb="12" eb="14">
      <t>ツイカ</t>
    </rPh>
    <phoneticPr fontId="2"/>
  </si>
  <si>
    <t>ビルデータCSV</t>
    <phoneticPr fontId="2"/>
  </si>
  <si>
    <t>年月日時分</t>
    <phoneticPr fontId="2"/>
  </si>
  <si>
    <t>最終更新日時</t>
    <rPh sb="0" eb="2">
      <t>サイシュウ</t>
    </rPh>
    <rPh sb="2" eb="4">
      <t>コウシン</t>
    </rPh>
    <rPh sb="4" eb="6">
      <t>ニチジ</t>
    </rPh>
    <phoneticPr fontId="2"/>
  </si>
  <si>
    <t>－</t>
    <phoneticPr fontId="2"/>
  </si>
  <si>
    <t>最大50</t>
    <rPh sb="0" eb="2">
      <t>サイダイ</t>
    </rPh>
    <phoneticPr fontId="2"/>
  </si>
  <si>
    <t>郵便番号</t>
    <rPh sb="0" eb="4">
      <t>ユウビンバンゴウ</t>
    </rPh>
    <phoneticPr fontId="2"/>
  </si>
  <si>
    <t>住所</t>
    <rPh sb="0" eb="2">
      <t>ジュウショ</t>
    </rPh>
    <phoneticPr fontId="2"/>
  </si>
  <si>
    <t>電話番号</t>
    <rPh sb="0" eb="2">
      <t>デンワ</t>
    </rPh>
    <rPh sb="2" eb="4">
      <t>バンゴウ</t>
    </rPh>
    <phoneticPr fontId="2"/>
  </si>
  <si>
    <t>代表者</t>
    <rPh sb="0" eb="3">
      <t>ダイヒョウシャ</t>
    </rPh>
    <phoneticPr fontId="2"/>
  </si>
  <si>
    <t>会社名</t>
    <rPh sb="0" eb="2">
      <t>カイシャ</t>
    </rPh>
    <rPh sb="2" eb="3">
      <t>メイ</t>
    </rPh>
    <phoneticPr fontId="2"/>
  </si>
  <si>
    <t>正社員数
（東日本社員）</t>
    <phoneticPr fontId="2"/>
  </si>
  <si>
    <t>正社員数
（ＮＴＴ在籍出向者）</t>
    <phoneticPr fontId="2"/>
  </si>
  <si>
    <t>正社員数
（他社出向者）</t>
    <phoneticPr fontId="2"/>
  </si>
  <si>
    <t>正社員数
（ＮＴＴ転籍者）</t>
    <phoneticPr fontId="2"/>
  </si>
  <si>
    <t>正社員数
（自社採用社員）</t>
    <phoneticPr fontId="2"/>
  </si>
  <si>
    <t>正社員数
（年俸契約社員）</t>
    <phoneticPr fontId="2"/>
  </si>
  <si>
    <t>正社員数
（ＮＴＴＯＢ社員）</t>
    <phoneticPr fontId="2"/>
  </si>
  <si>
    <t>正社員数
（他社ＯＢ社員）</t>
    <phoneticPr fontId="2"/>
  </si>
  <si>
    <t>正社員数
（退職・再雇用社員）</t>
    <phoneticPr fontId="2"/>
  </si>
  <si>
    <t>非正規社員数
（嘱託）</t>
    <phoneticPr fontId="2"/>
  </si>
  <si>
    <t>非正規社員数
（その他の契約社員）</t>
    <phoneticPr fontId="2"/>
  </si>
  <si>
    <t>非正規社員数
（人材派遣）</t>
    <phoneticPr fontId="2"/>
  </si>
  <si>
    <t>非正規社員数
（60歳超え契約社員）</t>
    <phoneticPr fontId="2"/>
  </si>
  <si>
    <t>半角英数記号</t>
    <rPh sb="0" eb="2">
      <t>ハンカク</t>
    </rPh>
    <rPh sb="2" eb="4">
      <t>エイスウ</t>
    </rPh>
    <rPh sb="4" eb="6">
      <t>キゴウ</t>
    </rPh>
    <phoneticPr fontId="2"/>
  </si>
  <si>
    <t>最大200</t>
    <rPh sb="0" eb="2">
      <t>サイダイ</t>
    </rPh>
    <phoneticPr fontId="2"/>
  </si>
  <si>
    <t>最大13</t>
    <rPh sb="0" eb="2">
      <t>サイダイ</t>
    </rPh>
    <phoneticPr fontId="2"/>
  </si>
  <si>
    <t>半角ハイフン付きも許容</t>
    <rPh sb="0" eb="2">
      <t>ハンカク</t>
    </rPh>
    <rPh sb="6" eb="7">
      <t>ツ</t>
    </rPh>
    <rPh sb="9" eb="11">
      <t>キョヨウ</t>
    </rPh>
    <phoneticPr fontId="2"/>
  </si>
  <si>
    <t>ビルデータ一覧のソート順に準拠する</t>
    <rPh sb="11" eb="12">
      <t>ジュン</t>
    </rPh>
    <rPh sb="13" eb="15">
      <t>ジュンキョ</t>
    </rPh>
    <phoneticPr fontId="2"/>
  </si>
  <si>
    <r>
      <rPr>
        <sz val="10"/>
        <rFont val="ＭＳ Ｐゴシック"/>
        <family val="3"/>
        <charset val="128"/>
      </rPr>
      <t>ビルデータ一覧</t>
    </r>
    <rPh sb="5" eb="7">
      <t>イチラン</t>
    </rPh>
    <phoneticPr fontId="2"/>
  </si>
  <si>
    <t>最大15</t>
    <rPh sb="0" eb="2">
      <t>サイダイ</t>
    </rPh>
    <phoneticPr fontId="2"/>
  </si>
  <si>
    <t>最大5</t>
    <rPh sb="0" eb="2">
      <t>サイダイ</t>
    </rPh>
    <phoneticPr fontId="2"/>
  </si>
  <si>
    <t>最大8</t>
    <rPh sb="0" eb="2">
      <t>サイダイ</t>
    </rPh>
    <phoneticPr fontId="2"/>
  </si>
  <si>
    <t>ビルの名称</t>
    <rPh sb="3" eb="5">
      <t>メイショウ</t>
    </rPh>
    <phoneticPr fontId="2"/>
  </si>
  <si>
    <t>ビルまたは入居会社の郵便番号</t>
    <rPh sb="7" eb="9">
      <t>ガイシャ</t>
    </rPh>
    <rPh sb="10" eb="14">
      <t>ユウビンバンゴウ</t>
    </rPh>
    <phoneticPr fontId="2"/>
  </si>
  <si>
    <t>ビルまたは入居会社の住所</t>
    <rPh sb="7" eb="9">
      <t>ガイシャ</t>
    </rPh>
    <rPh sb="10" eb="12">
      <t>ジュウショ</t>
    </rPh>
    <phoneticPr fontId="2"/>
  </si>
  <si>
    <t>ビルまたは入居会社の電話番号</t>
    <rPh sb="7" eb="9">
      <t>ガイシャ</t>
    </rPh>
    <rPh sb="10" eb="12">
      <t>デンワ</t>
    </rPh>
    <rPh sb="12" eb="14">
      <t>バンゴウ</t>
    </rPh>
    <phoneticPr fontId="2"/>
  </si>
  <si>
    <t>ビルまたは入居会社の代表者</t>
    <rPh sb="7" eb="9">
      <t>ガイシャ</t>
    </rPh>
    <rPh sb="10" eb="13">
      <t>ダイヒョウシャ</t>
    </rPh>
    <phoneticPr fontId="2"/>
  </si>
  <si>
    <t>入居会社の正社員数</t>
    <rPh sb="2" eb="4">
      <t>カイシャ</t>
    </rPh>
    <rPh sb="5" eb="8">
      <t>セイシャイン</t>
    </rPh>
    <rPh sb="8" eb="9">
      <t>スウ</t>
    </rPh>
    <phoneticPr fontId="2"/>
  </si>
  <si>
    <t>入居会社の非正社員数</t>
    <rPh sb="2" eb="4">
      <t>カイシャ</t>
    </rPh>
    <rPh sb="5" eb="6">
      <t>ヒ</t>
    </rPh>
    <rPh sb="6" eb="9">
      <t>セイシャイン</t>
    </rPh>
    <rPh sb="9" eb="10">
      <t>スウ</t>
    </rPh>
    <phoneticPr fontId="2"/>
  </si>
  <si>
    <t>【ヘッダーエリア①】</t>
    <phoneticPr fontId="2"/>
  </si>
  <si>
    <t>【ヘッダーエリア②】</t>
    <phoneticPr fontId="2"/>
  </si>
  <si>
    <t>ファイルの２行目に必ず設定する</t>
    <rPh sb="6" eb="8">
      <t>ギョウメ</t>
    </rPh>
    <rPh sb="9" eb="10">
      <t>カナラ</t>
    </rPh>
    <rPh sb="11" eb="13">
      <t>セッテイ</t>
    </rPh>
    <phoneticPr fontId="2"/>
  </si>
  <si>
    <t>データエリアの項目名称</t>
    <rPh sb="9" eb="11">
      <t>メイショウ</t>
    </rPh>
    <phoneticPr fontId="2"/>
  </si>
  <si>
    <t>"郵便番号"</t>
    <phoneticPr fontId="2"/>
  </si>
  <si>
    <t>"住所"</t>
    <phoneticPr fontId="2"/>
  </si>
  <si>
    <t>"電話番号"</t>
    <phoneticPr fontId="2"/>
  </si>
  <si>
    <t>"代表者"</t>
    <phoneticPr fontId="2"/>
  </si>
  <si>
    <t>"ＮＴＴ在籍出向者数"</t>
    <rPh sb="9" eb="10">
      <t>スウ</t>
    </rPh>
    <phoneticPr fontId="2"/>
  </si>
  <si>
    <t>"他社出向者数"</t>
    <phoneticPr fontId="2"/>
  </si>
  <si>
    <t>"ＮＴＴ転籍者数"</t>
    <phoneticPr fontId="2"/>
  </si>
  <si>
    <t>"自社採用社員数"</t>
    <rPh sb="7" eb="8">
      <t>スウ</t>
    </rPh>
    <phoneticPr fontId="2"/>
  </si>
  <si>
    <t>"ＦＡＸ番号"</t>
    <phoneticPr fontId="2"/>
  </si>
  <si>
    <t>ファイルの１行目に必ず設定する</t>
    <rPh sb="6" eb="8">
      <t>ギョウメ</t>
    </rPh>
    <rPh sb="9" eb="10">
      <t>カナラ</t>
    </rPh>
    <rPh sb="11" eb="13">
      <t>セッテイ</t>
    </rPh>
    <phoneticPr fontId="2"/>
  </si>
  <si>
    <t>ヘッダエリア①の項目名称</t>
    <rPh sb="10" eb="12">
      <t>メイショウ</t>
    </rPh>
    <phoneticPr fontId="2"/>
  </si>
  <si>
    <t>－</t>
    <phoneticPr fontId="2"/>
  </si>
  <si>
    <t>"出力日時"</t>
    <rPh sb="1" eb="3">
      <t>シュツリョク</t>
    </rPh>
    <rPh sb="3" eb="5">
      <t>ニチジ</t>
    </rPh>
    <phoneticPr fontId="2"/>
  </si>
  <si>
    <t>出力日時名称</t>
    <rPh sb="0" eb="2">
      <t>シュツリョク</t>
    </rPh>
    <rPh sb="2" eb="4">
      <t>ニチジ</t>
    </rPh>
    <rPh sb="4" eb="6">
      <t>メイショウ</t>
    </rPh>
    <phoneticPr fontId="2"/>
  </si>
  <si>
    <t>出力日時</t>
    <rPh sb="0" eb="2">
      <t>シュツリョク</t>
    </rPh>
    <rPh sb="2" eb="4">
      <t>ニチジ</t>
    </rPh>
    <phoneticPr fontId="2"/>
  </si>
  <si>
    <t>非正規社員数
（臨時雇（パート））</t>
    <phoneticPr fontId="2"/>
  </si>
  <si>
    <t>"年俸契約社員数"</t>
    <phoneticPr fontId="2"/>
  </si>
  <si>
    <t>"ＮＴＴＯＢ社員数"</t>
    <phoneticPr fontId="2"/>
  </si>
  <si>
    <t>"他社ＯＢ社員数"</t>
    <phoneticPr fontId="2"/>
  </si>
  <si>
    <t>"退職・再雇用社員数"</t>
    <phoneticPr fontId="2"/>
  </si>
  <si>
    <t>"臨時雇（パート）数"</t>
    <phoneticPr fontId="2"/>
  </si>
  <si>
    <t>"嘱託数"</t>
    <phoneticPr fontId="2"/>
  </si>
  <si>
    <t>"その他の契約社員数"</t>
    <phoneticPr fontId="2"/>
  </si>
  <si>
    <t>"人材派遣数"</t>
    <phoneticPr fontId="2"/>
  </si>
  <si>
    <t>"60歳超え契約社員数"</t>
    <phoneticPr fontId="2"/>
  </si>
  <si>
    <t>"登録日時"</t>
    <phoneticPr fontId="2"/>
  </si>
  <si>
    <t>"最終更新日時"</t>
    <phoneticPr fontId="2"/>
  </si>
  <si>
    <t>ビルデータを最後に更新処理した日時</t>
    <rPh sb="6" eb="8">
      <t>サイゴ</t>
    </rPh>
    <rPh sb="9" eb="11">
      <t>コウシン</t>
    </rPh>
    <rPh sb="11" eb="13">
      <t>ショリ</t>
    </rPh>
    <rPh sb="15" eb="17">
      <t>ニチジ</t>
    </rPh>
    <phoneticPr fontId="2"/>
  </si>
  <si>
    <t>ビルデータの登録を処理した日時</t>
    <rPh sb="6" eb="8">
      <t>トウロク</t>
    </rPh>
    <rPh sb="9" eb="11">
      <t>ショリ</t>
    </rPh>
    <rPh sb="13" eb="15">
      <t>ニチジ</t>
    </rPh>
    <phoneticPr fontId="2"/>
  </si>
  <si>
    <t>【1】項目定義　5/5</t>
    <rPh sb="3" eb="5">
      <t>コウモク</t>
    </rPh>
    <rPh sb="5" eb="7">
      <t>テイギ</t>
    </rPh>
    <phoneticPr fontId="2"/>
  </si>
  <si>
    <t>【1】項目定義　4/5</t>
    <rPh sb="3" eb="5">
      <t>コウモク</t>
    </rPh>
    <rPh sb="5" eb="7">
      <t>テイギ</t>
    </rPh>
    <phoneticPr fontId="2"/>
  </si>
  <si>
    <t>【1】項目定義　3/5</t>
    <rPh sb="3" eb="5">
      <t>コウモク</t>
    </rPh>
    <rPh sb="5" eb="7">
      <t>テイギ</t>
    </rPh>
    <phoneticPr fontId="2"/>
  </si>
  <si>
    <t>【1】項目定義　2/5</t>
    <rPh sb="3" eb="5">
      <t>コウモク</t>
    </rPh>
    <rPh sb="5" eb="7">
      <t>テイギ</t>
    </rPh>
    <phoneticPr fontId="2"/>
  </si>
  <si>
    <t>【1】項目定義　1/5</t>
    <rPh sb="3" eb="5">
      <t>コウモク</t>
    </rPh>
    <rPh sb="5" eb="7">
      <t>テイギ</t>
    </rPh>
    <phoneticPr fontId="2"/>
  </si>
  <si>
    <t>ＦＡＸ番号</t>
    <rPh sb="3" eb="5">
      <t>バンゴウ</t>
    </rPh>
    <phoneticPr fontId="2"/>
  </si>
  <si>
    <t>ビルまたは入居会社のＦＡＸ番号</t>
    <rPh sb="7" eb="9">
      <t>ガイシャ</t>
    </rPh>
    <rPh sb="13" eb="15">
      <t>バンゴウ</t>
    </rPh>
    <phoneticPr fontId="2"/>
  </si>
  <si>
    <t>CSV出力を処理した日時</t>
    <rPh sb="3" eb="5">
      <t>シュツリョク</t>
    </rPh>
    <rPh sb="6" eb="8">
      <t>ショリ</t>
    </rPh>
    <rPh sb="10" eb="12">
      <t>ニチジ</t>
    </rPh>
    <phoneticPr fontId="2"/>
  </si>
  <si>
    <t>処理ユーザＩＤ名称</t>
    <rPh sb="0" eb="2">
      <t>ショリ</t>
    </rPh>
    <rPh sb="7" eb="9">
      <t>メイショウ</t>
    </rPh>
    <phoneticPr fontId="2"/>
  </si>
  <si>
    <t>"処理ユーザＩＤ"</t>
    <rPh sb="1" eb="3">
      <t>ショリ</t>
    </rPh>
    <phoneticPr fontId="2"/>
  </si>
  <si>
    <t>処理ユーザＩＤ</t>
    <rPh sb="0" eb="2">
      <t>ショリ</t>
    </rPh>
    <phoneticPr fontId="2"/>
  </si>
  <si>
    <t>CSV出力を処理したユーザのユーザＩＤ</t>
    <rPh sb="3" eb="5">
      <t>シュツリョク</t>
    </rPh>
    <rPh sb="6" eb="8">
      <t>ショリ</t>
    </rPh>
    <phoneticPr fontId="2"/>
  </si>
  <si>
    <t>－</t>
    <phoneticPr fontId="2"/>
  </si>
  <si>
    <t>yyyy/mm/dd hh:mm</t>
    <phoneticPr fontId="2"/>
  </si>
  <si>
    <t>①規定での出力ソート順序</t>
    <rPh sb="1" eb="3">
      <t>キテイ</t>
    </rPh>
    <rPh sb="5" eb="7">
      <t>シュツリョク</t>
    </rPh>
    <rPh sb="10" eb="12">
      <t>ジュンジョ</t>
    </rPh>
    <phoneticPr fontId="2"/>
  </si>
  <si>
    <t>②画面指定での出力ソート順序</t>
    <rPh sb="1" eb="3">
      <t>ガメン</t>
    </rPh>
    <rPh sb="3" eb="5">
      <t>シテイ</t>
    </rPh>
    <rPh sb="7" eb="9">
      <t>シュツリョク</t>
    </rPh>
    <rPh sb="12" eb="14">
      <t>ジュンジョ</t>
    </rPh>
    <phoneticPr fontId="2"/>
  </si>
  <si>
    <t>昇順</t>
    <rPh sb="0" eb="2">
      <t>ショウジュン</t>
    </rPh>
    <phoneticPr fontId="2"/>
  </si>
  <si>
    <t>ビルコード／正社員数／非正社員数／
最終更新日時</t>
    <rPh sb="11" eb="12">
      <t>ヒ</t>
    </rPh>
    <rPh sb="18" eb="20">
      <t>サイシュウ</t>
    </rPh>
    <rPh sb="20" eb="22">
      <t>コウシン</t>
    </rPh>
    <rPh sb="22" eb="24">
      <t>ニチジ</t>
    </rPh>
    <phoneticPr fontId="2"/>
  </si>
  <si>
    <t>当項目の値はビルデータCSV登録処理では無視する</t>
    <rPh sb="0" eb="1">
      <t>トウ</t>
    </rPh>
    <rPh sb="1" eb="3">
      <t>コウモク</t>
    </rPh>
    <rPh sb="4" eb="5">
      <t>アタイ</t>
    </rPh>
    <rPh sb="14" eb="16">
      <t>トウロク</t>
    </rPh>
    <rPh sb="16" eb="18">
      <t>ショリ</t>
    </rPh>
    <rPh sb="20" eb="22">
      <t>ムシ</t>
    </rPh>
    <phoneticPr fontId="2"/>
  </si>
  <si>
    <t>－</t>
    <phoneticPr fontId="2"/>
  </si>
  <si>
    <t>○</t>
    <phoneticPr fontId="2"/>
  </si>
  <si>
    <t>全半角</t>
    <phoneticPr fontId="2"/>
  </si>
  <si>
    <t>"住所更新フラグ"</t>
    <rPh sb="1" eb="3">
      <t>ジュウショ</t>
    </rPh>
    <rPh sb="3" eb="5">
      <t>コウシン</t>
    </rPh>
    <phoneticPr fontId="2"/>
  </si>
  <si>
    <t>住所更新フラグ</t>
    <rPh sb="0" eb="2">
      <t>ジュウショ</t>
    </rPh>
    <rPh sb="2" eb="4">
      <t>コウシン</t>
    </rPh>
    <phoneticPr fontId="2"/>
  </si>
  <si>
    <t>住所を地図用の緯度経度に変換するかシステムで識別するフラグ値</t>
    <rPh sb="0" eb="2">
      <t>ジュウショ</t>
    </rPh>
    <rPh sb="3" eb="5">
      <t>チズ</t>
    </rPh>
    <rPh sb="5" eb="6">
      <t>ヨウ</t>
    </rPh>
    <rPh sb="7" eb="9">
      <t>イド</t>
    </rPh>
    <rPh sb="9" eb="11">
      <t>ケイド</t>
    </rPh>
    <rPh sb="12" eb="14">
      <t>ヘンカン</t>
    </rPh>
    <rPh sb="22" eb="24">
      <t>シキベツ</t>
    </rPh>
    <rPh sb="29" eb="30">
      <t>チ</t>
    </rPh>
    <phoneticPr fontId="2"/>
  </si>
  <si>
    <t>ビルデータCSV出力時は全件"0"でファイルに出力</t>
    <rPh sb="8" eb="10">
      <t>シュツリョク</t>
    </rPh>
    <rPh sb="10" eb="11">
      <t>ジ</t>
    </rPh>
    <rPh sb="12" eb="14">
      <t>ゼンケン</t>
    </rPh>
    <rPh sb="23" eb="25">
      <t>シュツリョク</t>
    </rPh>
    <phoneticPr fontId="2"/>
  </si>
  <si>
    <t>ビルデータ登録</t>
    <phoneticPr fontId="2"/>
  </si>
  <si>
    <t>"規模"</t>
    <rPh sb="1" eb="3">
      <t>キボ</t>
    </rPh>
    <phoneticPr fontId="2"/>
  </si>
  <si>
    <t>"所有者"</t>
    <rPh sb="1" eb="4">
      <t>ショユウシャ</t>
    </rPh>
    <phoneticPr fontId="2"/>
  </si>
  <si>
    <t>"フリー項目１"（※１）</t>
    <rPh sb="4" eb="6">
      <t>コウモク</t>
    </rPh>
    <phoneticPr fontId="2"/>
  </si>
  <si>
    <t>"フリー項目２"（※１）</t>
    <rPh sb="4" eb="6">
      <t>コウモク</t>
    </rPh>
    <phoneticPr fontId="2"/>
  </si>
  <si>
    <t>"フリー項目３"（※１）</t>
    <rPh sb="4" eb="6">
      <t>コウモク</t>
    </rPh>
    <phoneticPr fontId="2"/>
  </si>
  <si>
    <t>"フリー項目４"（※１）</t>
    <rPh sb="4" eb="6">
      <t>コウモク</t>
    </rPh>
    <phoneticPr fontId="2"/>
  </si>
  <si>
    <t>"フリー項目５"（※１）</t>
    <rPh sb="4" eb="6">
      <t>コウモク</t>
    </rPh>
    <phoneticPr fontId="2"/>
  </si>
  <si>
    <t>※１　フリー項目の項目名称は汎用情報か取得する</t>
    <rPh sb="6" eb="8">
      <t>コウモク</t>
    </rPh>
    <rPh sb="9" eb="11">
      <t>コウモク</t>
    </rPh>
    <rPh sb="11" eb="13">
      <t>メイショウ</t>
    </rPh>
    <rPh sb="14" eb="16">
      <t>ハンヨウ</t>
    </rPh>
    <rPh sb="16" eb="18">
      <t>ジョウホウ</t>
    </rPh>
    <rPh sb="19" eb="21">
      <t>シュトク</t>
    </rPh>
    <phoneticPr fontId="2"/>
  </si>
  <si>
    <t>規模</t>
    <rPh sb="0" eb="2">
      <t>キボ</t>
    </rPh>
    <phoneticPr fontId="2"/>
  </si>
  <si>
    <t>拠点規模</t>
    <rPh sb="0" eb="2">
      <t>キョテン</t>
    </rPh>
    <rPh sb="2" eb="4">
      <t>キボ</t>
    </rPh>
    <phoneticPr fontId="2"/>
  </si>
  <si>
    <t>最大150</t>
    <rPh sb="0" eb="2">
      <t>サイダイ</t>
    </rPh>
    <phoneticPr fontId="2"/>
  </si>
  <si>
    <t>所有者</t>
    <rPh sb="0" eb="3">
      <t>ショユウシャ</t>
    </rPh>
    <phoneticPr fontId="2"/>
  </si>
  <si>
    <t>ビルまたは入居会社の所有者</t>
    <rPh sb="7" eb="9">
      <t>ガイシャ</t>
    </rPh>
    <rPh sb="10" eb="13">
      <t>ショユウシャ</t>
    </rPh>
    <phoneticPr fontId="2"/>
  </si>
  <si>
    <t>全半角</t>
    <phoneticPr fontId="2"/>
  </si>
  <si>
    <t>フリー項目１（※１）</t>
    <rPh sb="3" eb="5">
      <t>コウモク</t>
    </rPh>
    <phoneticPr fontId="2"/>
  </si>
  <si>
    <t>フリー項目２（※１）</t>
    <rPh sb="3" eb="5">
      <t>コウモク</t>
    </rPh>
    <phoneticPr fontId="2"/>
  </si>
  <si>
    <t>フリー項目３（※１）</t>
    <rPh sb="3" eb="5">
      <t>コウモク</t>
    </rPh>
    <phoneticPr fontId="2"/>
  </si>
  <si>
    <t>フリー項目４（※１）</t>
    <rPh sb="3" eb="5">
      <t>コウモク</t>
    </rPh>
    <phoneticPr fontId="2"/>
  </si>
  <si>
    <t>フリー項目５（※１）</t>
    <rPh sb="3" eb="5">
      <t>コウモク</t>
    </rPh>
    <phoneticPr fontId="2"/>
  </si>
  <si>
    <t>"グループ名"</t>
    <rPh sb="5" eb="6">
      <t>メイ</t>
    </rPh>
    <phoneticPr fontId="2"/>
  </si>
  <si>
    <t>"会社名"</t>
    <rPh sb="1" eb="4">
      <t>カイシャメイ</t>
    </rPh>
    <phoneticPr fontId="2"/>
  </si>
  <si>
    <t>"ビルコード"</t>
    <phoneticPr fontId="2"/>
  </si>
  <si>
    <t>"ビル名"</t>
    <phoneticPr fontId="2"/>
  </si>
  <si>
    <t>"組織名"</t>
    <rPh sb="1" eb="3">
      <t>ソシキ</t>
    </rPh>
    <phoneticPr fontId="2"/>
  </si>
  <si>
    <t>グループ名</t>
    <rPh sb="4" eb="5">
      <t>メイ</t>
    </rPh>
    <phoneticPr fontId="2"/>
  </si>
  <si>
    <t>会社名</t>
    <rPh sb="0" eb="3">
      <t>カイシャメイ</t>
    </rPh>
    <phoneticPr fontId="2"/>
  </si>
  <si>
    <t>ビル名</t>
    <phoneticPr fontId="2"/>
  </si>
  <si>
    <t>組織名</t>
    <rPh sb="0" eb="2">
      <t>ソシキ</t>
    </rPh>
    <phoneticPr fontId="2"/>
  </si>
  <si>
    <t>組織名</t>
    <phoneticPr fontId="2"/>
  </si>
  <si>
    <t>ビルコード</t>
    <phoneticPr fontId="2"/>
  </si>
  <si>
    <t>0000</t>
    <phoneticPr fontId="2"/>
  </si>
  <si>
    <t>－</t>
    <phoneticPr fontId="2"/>
  </si>
  <si>
    <t>数字</t>
    <phoneticPr fontId="2"/>
  </si>
  <si>
    <t>全半角</t>
    <phoneticPr fontId="2"/>
  </si>
  <si>
    <t>最大50</t>
    <phoneticPr fontId="2"/>
  </si>
  <si>
    <t>備蓄品管理システム</t>
    <phoneticPr fontId="2"/>
  </si>
  <si>
    <t>※１　フリー項目の項目名称は汎用情報から取得する</t>
    <rPh sb="6" eb="8">
      <t>コウモク</t>
    </rPh>
    <rPh sb="9" eb="11">
      <t>コウモク</t>
    </rPh>
    <rPh sb="11" eb="13">
      <t>メイショウ</t>
    </rPh>
    <rPh sb="14" eb="16">
      <t>ハンヨウ</t>
    </rPh>
    <rPh sb="16" eb="18">
      <t>ジョウホウ</t>
    </rPh>
    <rPh sb="20" eb="22">
      <t>シュトク</t>
    </rPh>
    <phoneticPr fontId="2"/>
  </si>
  <si>
    <t>"緯度"</t>
    <rPh sb="1" eb="3">
      <t>イド</t>
    </rPh>
    <phoneticPr fontId="2"/>
  </si>
  <si>
    <t>"経度"</t>
    <rPh sb="1" eb="3">
      <t>ケイド</t>
    </rPh>
    <phoneticPr fontId="2"/>
  </si>
  <si>
    <t>緯度</t>
    <phoneticPr fontId="2"/>
  </si>
  <si>
    <t>経度</t>
    <phoneticPr fontId="2"/>
  </si>
  <si>
    <t>ビルの緯度</t>
    <rPh sb="3" eb="5">
      <t>イド</t>
    </rPh>
    <phoneticPr fontId="2"/>
  </si>
  <si>
    <t>ビルの経度</t>
    <rPh sb="3" eb="5">
      <t>ケイド</t>
    </rPh>
    <phoneticPr fontId="2"/>
  </si>
  <si>
    <t>－</t>
  </si>
  <si>
    <t>数字</t>
    <rPh sb="0" eb="2">
      <t>スウジ</t>
    </rPh>
    <phoneticPr fontId="2"/>
  </si>
  <si>
    <t>最大43</t>
    <rPh sb="0" eb="2">
      <t>サイダイ</t>
    </rPh>
    <phoneticPr fontId="2"/>
  </si>
  <si>
    <r>
      <t xml:space="preserve">"" ：更新しない
"0"：更新しない
"1"：更新する
</t>
    </r>
    <r>
      <rPr>
        <sz val="10"/>
        <color rgb="FFFF0000"/>
        <rFont val="ＭＳ Ｐゴシック"/>
        <family val="3"/>
        <charset val="128"/>
      </rPr>
      <t>※NO35,36のデータが入っている場合は、NO35,36の緯度経度を使用し更新する。</t>
    </r>
    <rPh sb="14" eb="16">
      <t>コウシン</t>
    </rPh>
    <rPh sb="24" eb="26">
      <t>コウシン</t>
    </rPh>
    <rPh sb="42" eb="43">
      <t>ハイ</t>
    </rPh>
    <rPh sb="47" eb="49">
      <t>バアイ</t>
    </rPh>
    <rPh sb="59" eb="61">
      <t>イド</t>
    </rPh>
    <rPh sb="61" eb="63">
      <t>ケイド</t>
    </rPh>
    <rPh sb="64" eb="66">
      <t>シヨウ</t>
    </rPh>
    <rPh sb="67" eb="69">
      <t>コウシン</t>
    </rPh>
    <phoneticPr fontId="2"/>
  </si>
  <si>
    <t>Ｖｅｒ.</t>
    <phoneticPr fontId="2"/>
  </si>
  <si>
    <t>1.0</t>
    <phoneticPr fontId="2"/>
  </si>
  <si>
    <t>CSV</t>
    <phoneticPr fontId="2"/>
  </si>
  <si>
    <t>1</t>
    <phoneticPr fontId="2"/>
  </si>
  <si>
    <t>グループコード</t>
    <phoneticPr fontId="2"/>
  </si>
  <si>
    <t>2</t>
    <phoneticPr fontId="2"/>
  </si>
  <si>
    <t>会社ID</t>
    <phoneticPr fontId="2"/>
  </si>
  <si>
    <t>3</t>
    <phoneticPr fontId="2"/>
  </si>
  <si>
    <t>組織</t>
    <rPh sb="0" eb="2">
      <t>ソシキ</t>
    </rPh>
    <phoneticPr fontId="2"/>
  </si>
  <si>
    <t>4</t>
  </si>
  <si>
    <t>ビルコード</t>
    <phoneticPr fontId="2"/>
  </si>
  <si>
    <t>昇順/降順</t>
    <phoneticPr fontId="2"/>
  </si>
  <si>
    <t>グループコード</t>
    <phoneticPr fontId="2"/>
  </si>
  <si>
    <t>3</t>
  </si>
  <si>
    <t>【3】出力元機能　1/1</t>
    <phoneticPr fontId="2"/>
  </si>
  <si>
    <t>№</t>
    <phoneticPr fontId="2"/>
  </si>
  <si>
    <t>"社員数"</t>
  </si>
  <si>
    <t>正社員数
（役員）</t>
  </si>
  <si>
    <t>"役員"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</si>
</sst>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quot;-&quot;"/>
    <numFmt numFmtId="165" formatCode="_ * #,##0_ ;_ * &quot;\\\-&quot;#,##0_ ;_ * \-_ ;_ @_ "/>
    <numFmt numFmtId="166" formatCode="0_ "/>
  </numFmts>
  <fonts count="18">
    <font>
      <sz val="10"/>
      <name val="ＭＳ Ｐゴシック"/>
      <family val="3"/>
      <charset val="128"/>
    </font>
    <font>
      <sz val="10"/>
      <name val="ＭＳ Ｐゴシック"/>
      <family val="3"/>
      <charset val="128"/>
    </font>
    <font>
      <sz val="6"/>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sz val="11"/>
      <name val="ＭＳ Ｐゴシック"/>
      <family val="3"/>
      <charset val="128"/>
    </font>
    <font>
      <sz val="11"/>
      <name val="明朝"/>
      <family val="1"/>
      <charset val="128"/>
    </font>
    <font>
      <b/>
      <sz val="11"/>
      <name val="Helv"/>
      <family val="2"/>
    </font>
    <font>
      <b/>
      <sz val="12"/>
      <name val="ＭＳ Ｐゴシック"/>
      <family val="3"/>
      <charset val="128"/>
    </font>
    <font>
      <b/>
      <sz val="10"/>
      <name val="ＭＳ Ｐゴシック"/>
      <family val="3"/>
      <charset val="128"/>
    </font>
    <font>
      <sz val="12"/>
      <name val="ＭＳ Ｐゴシック"/>
      <family val="3"/>
      <charset val="128"/>
    </font>
    <font>
      <sz val="10"/>
      <name val="Calibri"/>
      <family val="3"/>
      <charset val="128"/>
      <scheme val="minor"/>
    </font>
    <font>
      <sz val="10"/>
      <color rgb="FFFF0000"/>
      <name val="ＭＳ Ｐゴシック"/>
      <family val="3"/>
      <charset val="128"/>
    </font>
    <font>
      <sz val="10"/>
      <color rgb="FFFF0000"/>
      <name val="Calibri"/>
      <family val="3"/>
      <charset val="128"/>
      <scheme val="minor"/>
    </font>
  </fonts>
  <fills count="8">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rgb="FFFFFFCC"/>
        <bgColor indexed="64"/>
      </patternFill>
    </fill>
    <fill>
      <patternFill patternType="solid">
        <fgColor rgb="FFFFFF00"/>
        <bgColor indexed="64"/>
      </patternFill>
    </fill>
  </fills>
  <borders count="19">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3">
    <xf numFmtId="0" fontId="0" fillId="0" borderId="0">
      <alignment vertical="center"/>
    </xf>
    <xf numFmtId="164" fontId="3" fillId="0" borderId="0" applyFill="0" applyBorder="0" applyAlignment="0"/>
    <xf numFmtId="0" fontId="4" fillId="0" borderId="0">
      <alignment horizontal="left"/>
    </xf>
    <xf numFmtId="0" fontId="5" fillId="0" borderId="1" applyNumberFormat="0" applyAlignment="0" applyProtection="0">
      <alignment horizontal="left" vertical="center"/>
    </xf>
    <xf numFmtId="0" fontId="5" fillId="0" borderId="2">
      <alignment horizontal="left" vertical="center"/>
    </xf>
    <xf numFmtId="165" fontId="10" fillId="0" borderId="0"/>
    <xf numFmtId="4" fontId="4" fillId="0" borderId="0">
      <alignment horizontal="right"/>
    </xf>
    <xf numFmtId="4" fontId="6" fillId="0" borderId="0">
      <alignment horizontal="right"/>
    </xf>
    <xf numFmtId="0" fontId="7" fillId="0" borderId="0">
      <alignment horizontal="left"/>
    </xf>
    <xf numFmtId="0" fontId="11" fillId="0" borderId="0"/>
    <xf numFmtId="0" fontId="8" fillId="0" borderId="0">
      <alignment horizontal="center"/>
    </xf>
    <xf numFmtId="0" fontId="9" fillId="0" borderId="0">
      <alignment vertical="center"/>
    </xf>
    <xf numFmtId="0" fontId="1" fillId="0" borderId="0">
      <alignment vertical="center"/>
    </xf>
  </cellStyleXfs>
  <cellXfs count="315">
    <xf numFmtId="0" fontId="0" fillId="0" borderId="0" xfId="0">
      <alignment vertical="center"/>
    </xf>
    <xf numFmtId="0" fontId="0" fillId="2" borderId="0" xfId="0" applyFill="1">
      <alignment vertical="center"/>
    </xf>
    <xf numFmtId="0" fontId="0" fillId="2" borderId="0" xfId="0" applyFill="1" applyBorder="1">
      <alignment vertical="center"/>
    </xf>
    <xf numFmtId="0" fontId="0" fillId="2" borderId="5" xfId="0" applyFill="1" applyBorder="1">
      <alignment vertical="center"/>
    </xf>
    <xf numFmtId="0" fontId="0" fillId="2" borderId="6" xfId="0" applyFill="1" applyBorder="1">
      <alignment vertical="center"/>
    </xf>
    <xf numFmtId="0" fontId="0" fillId="2" borderId="7" xfId="0" applyFill="1" applyBorder="1">
      <alignment vertical="center"/>
    </xf>
    <xf numFmtId="0" fontId="0" fillId="2" borderId="8" xfId="0" applyFill="1" applyBorder="1">
      <alignment vertical="center"/>
    </xf>
    <xf numFmtId="0" fontId="0" fillId="2" borderId="9" xfId="0" applyFill="1" applyBorder="1">
      <alignment vertical="center"/>
    </xf>
    <xf numFmtId="0" fontId="0" fillId="2" borderId="10" xfId="0" applyFill="1" applyBorder="1">
      <alignment vertical="center"/>
    </xf>
    <xf numFmtId="0" fontId="0" fillId="2" borderId="0" xfId="0" applyFill="1" applyBorder="1" applyAlignment="1">
      <alignment vertical="center"/>
    </xf>
    <xf numFmtId="49" fontId="0" fillId="2" borderId="0" xfId="0" applyNumberFormat="1" applyFill="1" applyBorder="1" applyAlignment="1">
      <alignment horizontal="right" vertical="center"/>
    </xf>
    <xf numFmtId="0" fontId="0" fillId="2" borderId="7" xfId="0" applyFill="1" applyBorder="1" applyAlignment="1">
      <alignment vertical="center"/>
    </xf>
    <xf numFmtId="0" fontId="0" fillId="2" borderId="0" xfId="0" applyFill="1" applyBorder="1" applyAlignment="1">
      <alignment horizontal="left" vertical="center"/>
    </xf>
    <xf numFmtId="0" fontId="0" fillId="2" borderId="0" xfId="0" applyFont="1" applyFill="1" applyBorder="1">
      <alignment vertical="center"/>
    </xf>
    <xf numFmtId="0" fontId="0" fillId="4" borderId="0" xfId="0" applyFill="1" applyBorder="1" applyAlignment="1">
      <alignment vertical="center"/>
    </xf>
    <xf numFmtId="0" fontId="0" fillId="4" borderId="0" xfId="0" applyFill="1" applyBorder="1">
      <alignment vertical="center"/>
    </xf>
    <xf numFmtId="0" fontId="0" fillId="2" borderId="13" xfId="0" applyFill="1" applyBorder="1" applyAlignment="1">
      <alignment horizontal="center" vertical="center"/>
    </xf>
    <xf numFmtId="0" fontId="13" fillId="2" borderId="13" xfId="0" applyFont="1" applyFill="1" applyBorder="1" applyAlignment="1">
      <alignment horizontal="center" vertical="center"/>
    </xf>
    <xf numFmtId="0" fontId="13" fillId="2" borderId="14" xfId="0" applyFont="1" applyFill="1" applyBorder="1" applyAlignment="1">
      <alignment horizontal="center" vertical="center"/>
    </xf>
    <xf numFmtId="0" fontId="0" fillId="2" borderId="4" xfId="0" applyFill="1" applyBorder="1" applyAlignment="1">
      <alignment vertical="center"/>
    </xf>
    <xf numFmtId="0" fontId="0" fillId="2" borderId="3" xfId="0" applyFill="1" applyBorder="1" applyAlignment="1">
      <alignment vertical="center"/>
    </xf>
    <xf numFmtId="0" fontId="0" fillId="2" borderId="14" xfId="0" applyFill="1" applyBorder="1" applyAlignment="1">
      <alignment vertical="center"/>
    </xf>
    <xf numFmtId="0" fontId="0" fillId="2" borderId="0" xfId="0" applyFill="1" applyAlignment="1">
      <alignment vertical="center"/>
    </xf>
    <xf numFmtId="0" fontId="0" fillId="2" borderId="0" xfId="0" applyFont="1" applyFill="1" applyBorder="1" applyAlignment="1">
      <alignment vertical="top"/>
    </xf>
    <xf numFmtId="0" fontId="14" fillId="3" borderId="4" xfId="11" applyFont="1" applyFill="1" applyBorder="1" applyAlignment="1">
      <alignment horizontal="centerContinuous" vertical="center"/>
    </xf>
    <xf numFmtId="0" fontId="14" fillId="3" borderId="2" xfId="11" applyFont="1" applyFill="1" applyBorder="1" applyAlignment="1">
      <alignment horizontal="centerContinuous" vertical="center"/>
    </xf>
    <xf numFmtId="0" fontId="0" fillId="2" borderId="5" xfId="0" applyFont="1" applyFill="1" applyBorder="1" applyAlignment="1">
      <alignment vertical="top"/>
    </xf>
    <xf numFmtId="0" fontId="0" fillId="2" borderId="0" xfId="0" applyFont="1" applyFill="1" applyBorder="1" applyAlignment="1">
      <alignment vertical="center"/>
    </xf>
    <xf numFmtId="0" fontId="14" fillId="3" borderId="11" xfId="11" applyFont="1" applyFill="1" applyBorder="1" applyAlignment="1">
      <alignment horizontal="centerContinuous" vertical="center"/>
    </xf>
    <xf numFmtId="166" fontId="14" fillId="3" borderId="5" xfId="11" applyNumberFormat="1" applyFont="1" applyFill="1" applyBorder="1" applyAlignment="1">
      <alignment horizontal="centerContinuous" vertical="center"/>
    </xf>
    <xf numFmtId="0" fontId="14" fillId="3" borderId="5" xfId="11" applyFont="1" applyFill="1" applyBorder="1" applyAlignment="1">
      <alignment horizontal="centerContinuous" vertical="center"/>
    </xf>
    <xf numFmtId="166" fontId="14" fillId="3" borderId="2" xfId="11" applyNumberFormat="1" applyFont="1" applyFill="1" applyBorder="1" applyAlignment="1">
      <alignment horizontal="centerContinuous" vertical="center"/>
    </xf>
    <xf numFmtId="0" fontId="0" fillId="2" borderId="0" xfId="0" applyFill="1" applyBorder="1" applyAlignment="1">
      <alignment horizontal="center" vertical="center"/>
    </xf>
    <xf numFmtId="0" fontId="14" fillId="2" borderId="4" xfId="0" applyFont="1" applyFill="1" applyBorder="1" applyAlignment="1">
      <alignment vertical="center"/>
    </xf>
    <xf numFmtId="0" fontId="14" fillId="2" borderId="2" xfId="0" applyFont="1" applyFill="1" applyBorder="1" applyAlignment="1">
      <alignment vertical="center"/>
    </xf>
    <xf numFmtId="0" fontId="14" fillId="4" borderId="4" xfId="11" applyFont="1" applyFill="1" applyBorder="1" applyAlignment="1">
      <alignment horizontal="centerContinuous" vertical="center"/>
    </xf>
    <xf numFmtId="0" fontId="14" fillId="4" borderId="2" xfId="11" applyFont="1" applyFill="1" applyBorder="1" applyAlignment="1">
      <alignment horizontal="centerContinuous" vertical="center"/>
    </xf>
    <xf numFmtId="0" fontId="14" fillId="4" borderId="2" xfId="0" applyFont="1" applyFill="1" applyBorder="1" applyAlignment="1">
      <alignment horizontal="centerContinuous" vertical="center"/>
    </xf>
    <xf numFmtId="0" fontId="14" fillId="4" borderId="3" xfId="0" applyFont="1" applyFill="1" applyBorder="1" applyAlignment="1">
      <alignment horizontal="centerContinuous" vertical="center"/>
    </xf>
    <xf numFmtId="166" fontId="0" fillId="2" borderId="5" xfId="0" applyNumberFormat="1" applyFont="1" applyFill="1" applyBorder="1" applyAlignment="1">
      <alignment vertical="top"/>
    </xf>
    <xf numFmtId="0" fontId="0" fillId="2" borderId="0" xfId="0" applyFill="1" applyBorder="1" applyAlignment="1">
      <alignment vertical="top"/>
    </xf>
    <xf numFmtId="0" fontId="13" fillId="0" borderId="0" xfId="12" applyFont="1" applyBorder="1" applyAlignment="1">
      <alignment horizontal="left" vertical="top"/>
    </xf>
    <xf numFmtId="0" fontId="1" fillId="5" borderId="15" xfId="12" applyFont="1" applyFill="1" applyBorder="1" applyAlignment="1">
      <alignment horizontal="centerContinuous" vertical="top"/>
    </xf>
    <xf numFmtId="0" fontId="1" fillId="5" borderId="15" xfId="0" applyFont="1" applyFill="1" applyBorder="1" applyAlignment="1">
      <alignment horizontal="centerContinuous" vertical="top"/>
    </xf>
    <xf numFmtId="0" fontId="1" fillId="5" borderId="4" xfId="0" applyFont="1" applyFill="1" applyBorder="1" applyAlignment="1">
      <alignment horizontal="centerContinuous" vertical="top"/>
    </xf>
    <xf numFmtId="0" fontId="1" fillId="5" borderId="2" xfId="0" applyFont="1" applyFill="1" applyBorder="1" applyAlignment="1">
      <alignment horizontal="centerContinuous" vertical="top"/>
    </xf>
    <xf numFmtId="0" fontId="1" fillId="5" borderId="3" xfId="0" applyFont="1" applyFill="1" applyBorder="1" applyAlignment="1">
      <alignment horizontal="centerContinuous" vertical="top"/>
    </xf>
    <xf numFmtId="0" fontId="0" fillId="5" borderId="4" xfId="0" applyFont="1" applyFill="1" applyBorder="1" applyAlignment="1">
      <alignment horizontal="centerContinuous" vertical="top"/>
    </xf>
    <xf numFmtId="0" fontId="1" fillId="2" borderId="0" xfId="12" applyFont="1" applyFill="1" applyAlignment="1">
      <alignment vertical="top"/>
    </xf>
    <xf numFmtId="0" fontId="1" fillId="5" borderId="15" xfId="12" applyFont="1" applyFill="1" applyBorder="1" applyAlignment="1">
      <alignment horizontal="center" vertical="top"/>
    </xf>
    <xf numFmtId="0" fontId="1" fillId="2" borderId="6" xfId="12" applyFill="1" applyBorder="1" applyAlignment="1">
      <alignment vertical="top"/>
    </xf>
    <xf numFmtId="0" fontId="1" fillId="2" borderId="0" xfId="12" applyFill="1" applyAlignment="1">
      <alignment vertical="top"/>
    </xf>
    <xf numFmtId="0" fontId="1" fillId="2" borderId="7" xfId="12" applyFill="1" applyBorder="1" applyAlignment="1">
      <alignment vertical="top"/>
    </xf>
    <xf numFmtId="0" fontId="0" fillId="2" borderId="4" xfId="12" applyFont="1" applyFill="1" applyBorder="1" applyAlignment="1">
      <alignment vertical="top"/>
    </xf>
    <xf numFmtId="0" fontId="1" fillId="6" borderId="4" xfId="12" applyFont="1" applyFill="1" applyBorder="1" applyAlignment="1">
      <alignment vertical="top"/>
    </xf>
    <xf numFmtId="49" fontId="15" fillId="6" borderId="2" xfId="0" applyNumberFormat="1" applyFont="1" applyFill="1" applyBorder="1" applyAlignment="1">
      <alignment vertical="top"/>
    </xf>
    <xf numFmtId="0" fontId="1" fillId="6" borderId="2" xfId="12" applyFont="1" applyFill="1" applyBorder="1" applyAlignment="1">
      <alignment horizontal="center" vertical="top"/>
    </xf>
    <xf numFmtId="0" fontId="1" fillId="6" borderId="2" xfId="12" applyFont="1" applyFill="1" applyBorder="1" applyAlignment="1">
      <alignment vertical="top" wrapText="1"/>
    </xf>
    <xf numFmtId="0" fontId="1" fillId="6" borderId="2" xfId="0" applyFont="1" applyFill="1" applyBorder="1" applyAlignment="1">
      <alignment vertical="top"/>
    </xf>
    <xf numFmtId="0" fontId="1" fillId="6" borderId="2" xfId="12" applyFont="1" applyFill="1" applyBorder="1" applyAlignment="1">
      <alignment vertical="top"/>
    </xf>
    <xf numFmtId="0" fontId="1" fillId="6" borderId="2" xfId="0" applyFont="1" applyFill="1" applyBorder="1" applyAlignment="1">
      <alignment vertical="top" wrapText="1"/>
    </xf>
    <xf numFmtId="0" fontId="1" fillId="6" borderId="3" xfId="0" applyFont="1" applyFill="1" applyBorder="1" applyAlignment="1">
      <alignment vertical="top" wrapText="1"/>
    </xf>
    <xf numFmtId="0" fontId="1" fillId="2" borderId="0" xfId="12" applyFont="1" applyFill="1" applyBorder="1" applyAlignment="1">
      <alignment vertical="top"/>
    </xf>
    <xf numFmtId="0" fontId="1" fillId="2" borderId="16" xfId="12" applyFont="1" applyFill="1" applyBorder="1" applyAlignment="1">
      <alignment vertical="top"/>
    </xf>
    <xf numFmtId="0" fontId="1" fillId="2" borderId="17" xfId="12" applyFont="1" applyFill="1" applyBorder="1" applyAlignment="1">
      <alignment vertical="top"/>
    </xf>
    <xf numFmtId="0" fontId="0" fillId="2" borderId="11" xfId="0" applyFont="1" applyFill="1" applyBorder="1" applyAlignment="1">
      <alignment vertical="top"/>
    </xf>
    <xf numFmtId="0" fontId="0" fillId="2" borderId="12" xfId="0" applyFont="1" applyFill="1" applyBorder="1" applyAlignment="1">
      <alignment vertical="top"/>
    </xf>
    <xf numFmtId="0" fontId="0" fillId="2" borderId="6" xfId="0" applyFont="1" applyFill="1" applyBorder="1" applyAlignment="1">
      <alignment vertical="top"/>
    </xf>
    <xf numFmtId="0" fontId="0" fillId="2" borderId="7" xfId="0" applyFont="1" applyFill="1" applyBorder="1" applyAlignment="1">
      <alignment vertical="top"/>
    </xf>
    <xf numFmtId="0" fontId="0" fillId="2" borderId="8" xfId="0" applyFont="1" applyFill="1" applyBorder="1" applyAlignment="1">
      <alignment vertical="top"/>
    </xf>
    <xf numFmtId="0" fontId="0" fillId="2" borderId="9" xfId="0" applyFont="1" applyFill="1" applyBorder="1" applyAlignment="1">
      <alignment vertical="top"/>
    </xf>
    <xf numFmtId="0" fontId="0" fillId="2" borderId="10" xfId="0" applyFont="1" applyFill="1" applyBorder="1" applyAlignment="1">
      <alignment vertical="top"/>
    </xf>
    <xf numFmtId="0" fontId="1" fillId="2" borderId="6" xfId="12" applyFont="1" applyFill="1" applyBorder="1" applyAlignment="1">
      <alignment vertical="top"/>
    </xf>
    <xf numFmtId="0" fontId="1" fillId="2" borderId="7" xfId="12" applyFont="1" applyFill="1" applyBorder="1" applyAlignment="1">
      <alignment vertical="top"/>
    </xf>
    <xf numFmtId="0" fontId="0" fillId="2" borderId="6" xfId="0" applyFont="1" applyFill="1" applyBorder="1" applyAlignment="1">
      <alignment vertical="center"/>
    </xf>
    <xf numFmtId="0" fontId="0" fillId="2" borderId="7" xfId="0" applyFont="1" applyFill="1" applyBorder="1" applyAlignment="1">
      <alignment vertical="center"/>
    </xf>
    <xf numFmtId="0" fontId="1" fillId="2" borderId="5" xfId="12" applyFont="1" applyFill="1" applyBorder="1" applyAlignment="1">
      <alignment horizontal="center" vertical="top" wrapText="1"/>
    </xf>
    <xf numFmtId="0" fontId="1" fillId="2" borderId="9" xfId="12" applyFont="1" applyFill="1" applyBorder="1" applyAlignment="1">
      <alignment horizontal="center" vertical="top" wrapText="1"/>
    </xf>
    <xf numFmtId="0" fontId="1" fillId="2" borderId="5" xfId="12" applyFont="1" applyFill="1" applyBorder="1" applyAlignment="1">
      <alignment vertical="top" wrapText="1"/>
    </xf>
    <xf numFmtId="0" fontId="1" fillId="2" borderId="9" xfId="12" applyFont="1" applyFill="1" applyBorder="1" applyAlignment="1">
      <alignment vertical="top" wrapText="1"/>
    </xf>
    <xf numFmtId="0" fontId="1" fillId="4" borderId="5" xfId="12" applyFont="1" applyFill="1" applyBorder="1" applyAlignment="1">
      <alignment vertical="top" wrapText="1"/>
    </xf>
    <xf numFmtId="0" fontId="1" fillId="4" borderId="9" xfId="12" applyFont="1" applyFill="1" applyBorder="1" applyAlignment="1">
      <alignment vertical="top" wrapText="1"/>
    </xf>
    <xf numFmtId="0" fontId="1" fillId="2" borderId="6" xfId="0" applyFont="1" applyFill="1" applyBorder="1" applyAlignment="1">
      <alignment vertical="center"/>
    </xf>
    <xf numFmtId="0" fontId="1" fillId="2" borderId="0" xfId="0" applyFont="1" applyFill="1" applyBorder="1" applyAlignment="1">
      <alignment vertical="center"/>
    </xf>
    <xf numFmtId="0" fontId="1" fillId="2" borderId="7" xfId="0" applyFont="1" applyFill="1" applyBorder="1" applyAlignment="1">
      <alignment vertical="center"/>
    </xf>
    <xf numFmtId="0" fontId="1" fillId="2" borderId="0" xfId="12" applyFont="1" applyFill="1" applyBorder="1" applyAlignment="1">
      <alignment vertical="top" wrapText="1"/>
    </xf>
    <xf numFmtId="0" fontId="1" fillId="2" borderId="0" xfId="12" applyFont="1" applyFill="1" applyBorder="1" applyAlignment="1">
      <alignment horizontal="center" vertical="top" wrapText="1"/>
    </xf>
    <xf numFmtId="0" fontId="1" fillId="4" borderId="0" xfId="12" applyFont="1" applyFill="1" applyBorder="1" applyAlignment="1">
      <alignment vertical="top" wrapText="1"/>
    </xf>
    <xf numFmtId="0" fontId="0" fillId="2" borderId="5" xfId="0" applyNumberFormat="1" applyFont="1" applyFill="1" applyBorder="1" applyAlignment="1">
      <alignment vertical="top" wrapText="1"/>
    </xf>
    <xf numFmtId="0" fontId="0" fillId="2" borderId="9" xfId="0" applyNumberFormat="1" applyFont="1" applyFill="1" applyBorder="1" applyAlignment="1">
      <alignment vertical="top" wrapText="1"/>
    </xf>
    <xf numFmtId="0" fontId="1" fillId="2" borderId="8" xfId="12" applyFont="1" applyFill="1" applyBorder="1" applyAlignment="1">
      <alignment vertical="top"/>
    </xf>
    <xf numFmtId="0" fontId="0" fillId="2" borderId="0" xfId="0" applyNumberFormat="1" applyFont="1" applyFill="1" applyBorder="1" applyAlignment="1">
      <alignment vertical="top" wrapText="1"/>
    </xf>
    <xf numFmtId="166" fontId="0" fillId="2" borderId="0" xfId="0" applyNumberFormat="1" applyFont="1" applyFill="1" applyBorder="1" applyAlignment="1">
      <alignment vertical="top"/>
    </xf>
    <xf numFmtId="49" fontId="1" fillId="2" borderId="0" xfId="12" applyNumberFormat="1" applyFont="1" applyFill="1" applyBorder="1" applyAlignment="1">
      <alignment horizontal="center" vertical="center"/>
    </xf>
    <xf numFmtId="0" fontId="1" fillId="2" borderId="10" xfId="12" applyFont="1" applyFill="1" applyBorder="1" applyAlignment="1">
      <alignment vertical="top"/>
    </xf>
    <xf numFmtId="49" fontId="15" fillId="4" borderId="5" xfId="0" applyNumberFormat="1" applyFont="1" applyFill="1" applyBorder="1" applyAlignment="1">
      <alignment vertical="top" wrapText="1"/>
    </xf>
    <xf numFmtId="49" fontId="15" fillId="4" borderId="9" xfId="0" applyNumberFormat="1" applyFont="1" applyFill="1" applyBorder="1" applyAlignment="1">
      <alignment vertical="top" wrapText="1"/>
    </xf>
    <xf numFmtId="0" fontId="1" fillId="4" borderId="0" xfId="12" applyFont="1" applyFill="1" applyBorder="1" applyAlignment="1">
      <alignment vertical="top"/>
    </xf>
    <xf numFmtId="49" fontId="15" fillId="4" borderId="0" xfId="0" applyNumberFormat="1" applyFont="1" applyFill="1" applyBorder="1" applyAlignment="1">
      <alignment vertical="top" wrapText="1"/>
    </xf>
    <xf numFmtId="0" fontId="1" fillId="2" borderId="12" xfId="12" applyFont="1" applyFill="1" applyBorder="1" applyAlignment="1">
      <alignment vertical="top"/>
    </xf>
    <xf numFmtId="0" fontId="0" fillId="2" borderId="15" xfId="12" applyFont="1" applyFill="1" applyBorder="1" applyAlignment="1">
      <alignment vertical="top"/>
    </xf>
    <xf numFmtId="49" fontId="15" fillId="0" borderId="4" xfId="0" applyNumberFormat="1" applyFont="1" applyBorder="1" applyAlignment="1">
      <alignment vertical="top"/>
    </xf>
    <xf numFmtId="0" fontId="0" fillId="2" borderId="2" xfId="12" applyFont="1" applyFill="1" applyBorder="1" applyAlignment="1">
      <alignment horizontal="center" vertical="top"/>
    </xf>
    <xf numFmtId="0" fontId="0" fillId="2" borderId="3" xfId="12" applyFont="1" applyFill="1" applyBorder="1" applyAlignment="1">
      <alignment horizontal="center" vertical="top"/>
    </xf>
    <xf numFmtId="0" fontId="0" fillId="2" borderId="2" xfId="12" applyFont="1" applyFill="1" applyBorder="1" applyAlignment="1">
      <alignment vertical="top"/>
    </xf>
    <xf numFmtId="0" fontId="0" fillId="2" borderId="3" xfId="12" applyFont="1" applyFill="1" applyBorder="1" applyAlignment="1">
      <alignment vertical="top"/>
    </xf>
    <xf numFmtId="0" fontId="0" fillId="4" borderId="4" xfId="12" applyFont="1" applyFill="1" applyBorder="1" applyAlignment="1">
      <alignment vertical="top"/>
    </xf>
    <xf numFmtId="0" fontId="0" fillId="4" borderId="2" xfId="0" applyFont="1" applyFill="1" applyBorder="1" applyAlignment="1">
      <alignment vertical="top"/>
    </xf>
    <xf numFmtId="0" fontId="0" fillId="4" borderId="3" xfId="0" applyFont="1" applyFill="1" applyBorder="1" applyAlignment="1">
      <alignment vertical="top"/>
    </xf>
    <xf numFmtId="0" fontId="16" fillId="6" borderId="2" xfId="0" applyFont="1" applyFill="1" applyBorder="1" applyAlignment="1">
      <alignment vertical="top"/>
    </xf>
    <xf numFmtId="49" fontId="1" fillId="2" borderId="9" xfId="12" applyNumberFormat="1" applyFont="1" applyFill="1" applyBorder="1" applyAlignment="1">
      <alignment horizontal="center" vertical="center"/>
    </xf>
    <xf numFmtId="0" fontId="1" fillId="2" borderId="11" xfId="12" applyFont="1" applyFill="1" applyBorder="1" applyAlignment="1">
      <alignment vertical="top"/>
    </xf>
    <xf numFmtId="0" fontId="1" fillId="4" borderId="5" xfId="12" applyFont="1" applyFill="1" applyBorder="1" applyAlignment="1">
      <alignment vertical="top"/>
    </xf>
    <xf numFmtId="49" fontId="1" fillId="2" borderId="5" xfId="12" applyNumberFormat="1" applyFont="1" applyFill="1" applyBorder="1" applyAlignment="1">
      <alignment horizontal="center" vertical="center"/>
    </xf>
    <xf numFmtId="0" fontId="0" fillId="2" borderId="8" xfId="0" applyFont="1" applyFill="1" applyBorder="1" applyAlignment="1">
      <alignment vertical="center"/>
    </xf>
    <xf numFmtId="0" fontId="0" fillId="2" borderId="9" xfId="0" applyFont="1" applyFill="1" applyBorder="1" applyAlignment="1">
      <alignment vertical="center"/>
    </xf>
    <xf numFmtId="0" fontId="0" fillId="2" borderId="10" xfId="0" applyFont="1" applyFill="1" applyBorder="1" applyAlignment="1">
      <alignment vertical="center"/>
    </xf>
    <xf numFmtId="0" fontId="1" fillId="4" borderId="9" xfId="12" applyFont="1" applyFill="1" applyBorder="1" applyAlignment="1">
      <alignment vertical="top"/>
    </xf>
    <xf numFmtId="0" fontId="0" fillId="2" borderId="11" xfId="0" applyFont="1" applyFill="1" applyBorder="1" applyAlignment="1">
      <alignment vertical="center"/>
    </xf>
    <xf numFmtId="0" fontId="0" fillId="2" borderId="5" xfId="0" applyFont="1" applyFill="1" applyBorder="1" applyAlignment="1">
      <alignment vertical="center"/>
    </xf>
    <xf numFmtId="0" fontId="0" fillId="2" borderId="12" xfId="0" applyFont="1" applyFill="1" applyBorder="1" applyAlignment="1">
      <alignment vertical="center"/>
    </xf>
    <xf numFmtId="0" fontId="0" fillId="2" borderId="0" xfId="12" applyFont="1" applyFill="1" applyBorder="1" applyAlignment="1">
      <alignment vertical="top"/>
    </xf>
    <xf numFmtId="0" fontId="0" fillId="4" borderId="11" xfId="12" applyFont="1" applyFill="1" applyBorder="1" applyAlignment="1">
      <alignment vertical="top"/>
    </xf>
    <xf numFmtId="0" fontId="0" fillId="4" borderId="5" xfId="0" applyFont="1" applyFill="1" applyBorder="1" applyAlignment="1">
      <alignment vertical="top"/>
    </xf>
    <xf numFmtId="0" fontId="0" fillId="4" borderId="12" xfId="0" applyFont="1" applyFill="1" applyBorder="1" applyAlignment="1">
      <alignment vertical="top"/>
    </xf>
    <xf numFmtId="49" fontId="15" fillId="4" borderId="8" xfId="0" applyNumberFormat="1" applyFont="1" applyFill="1" applyBorder="1" applyAlignment="1">
      <alignment horizontal="center" vertical="top"/>
    </xf>
    <xf numFmtId="49" fontId="15" fillId="4" borderId="9" xfId="0" applyNumberFormat="1" applyFont="1" applyFill="1" applyBorder="1" applyAlignment="1">
      <alignment horizontal="center" vertical="top"/>
    </xf>
    <xf numFmtId="49" fontId="15" fillId="4" borderId="10" xfId="0" applyNumberFormat="1" applyFont="1" applyFill="1" applyBorder="1" applyAlignment="1">
      <alignment horizontal="center" vertical="top"/>
    </xf>
    <xf numFmtId="0" fontId="0" fillId="4" borderId="8" xfId="12" applyFont="1" applyFill="1" applyBorder="1" applyAlignment="1">
      <alignment horizontal="center" vertical="top" wrapText="1"/>
    </xf>
    <xf numFmtId="0" fontId="0" fillId="4" borderId="9" xfId="12" applyFont="1" applyFill="1" applyBorder="1" applyAlignment="1">
      <alignment horizontal="center" vertical="top" wrapText="1"/>
    </xf>
    <xf numFmtId="0" fontId="0" fillId="4" borderId="10" xfId="12" applyFont="1" applyFill="1" applyBorder="1" applyAlignment="1">
      <alignment horizontal="center" vertical="top" wrapText="1"/>
    </xf>
    <xf numFmtId="0" fontId="0" fillId="4" borderId="8" xfId="12" applyFont="1" applyFill="1" applyBorder="1" applyAlignment="1">
      <alignment vertical="top"/>
    </xf>
    <xf numFmtId="0" fontId="0" fillId="4" borderId="9" xfId="0" applyFont="1" applyFill="1" applyBorder="1" applyAlignment="1">
      <alignment vertical="top"/>
    </xf>
    <xf numFmtId="0" fontId="0" fillId="4" borderId="10" xfId="0" applyFont="1" applyFill="1" applyBorder="1" applyAlignment="1">
      <alignment vertical="top"/>
    </xf>
    <xf numFmtId="49" fontId="1" fillId="2" borderId="0" xfId="0" applyNumberFormat="1" applyFont="1" applyFill="1" applyBorder="1" applyAlignment="1">
      <alignment vertical="top"/>
    </xf>
    <xf numFmtId="166" fontId="0" fillId="4" borderId="9" xfId="0" applyNumberFormat="1" applyFont="1" applyFill="1" applyBorder="1" applyAlignment="1">
      <alignment vertical="top"/>
    </xf>
    <xf numFmtId="0" fontId="16" fillId="2" borderId="16" xfId="12" applyFont="1" applyFill="1" applyBorder="1" applyAlignment="1">
      <alignment vertical="top"/>
    </xf>
    <xf numFmtId="0" fontId="16" fillId="2" borderId="17" xfId="12" applyFont="1" applyFill="1" applyBorder="1" applyAlignment="1">
      <alignment vertical="top"/>
    </xf>
    <xf numFmtId="0" fontId="16" fillId="2" borderId="0" xfId="0" applyFont="1" applyFill="1" applyBorder="1" applyAlignment="1">
      <alignment vertical="center"/>
    </xf>
    <xf numFmtId="0" fontId="1" fillId="2" borderId="16" xfId="12" applyFont="1" applyFill="1" applyBorder="1" applyAlignment="1">
      <alignment vertical="top"/>
    </xf>
    <xf numFmtId="0" fontId="1" fillId="2" borderId="17" xfId="12" applyFont="1" applyFill="1" applyBorder="1" applyAlignment="1">
      <alignment vertical="top"/>
    </xf>
    <xf numFmtId="0" fontId="13" fillId="2" borderId="4" xfId="0" applyFont="1" applyFill="1" applyBorder="1" applyAlignment="1">
      <alignment horizontal="center" vertical="center"/>
    </xf>
    <xf numFmtId="0" fontId="13" fillId="2" borderId="3" xfId="0" applyFont="1" applyFill="1" applyBorder="1" applyAlignment="1">
      <alignment horizontal="center" vertical="center"/>
    </xf>
    <xf numFmtId="0" fontId="14" fillId="2" borderId="4" xfId="11" applyFont="1" applyFill="1" applyBorder="1" applyAlignment="1">
      <alignment vertical="center" shrinkToFit="1"/>
    </xf>
    <xf numFmtId="0" fontId="14" fillId="2" borderId="2" xfId="11" applyFont="1" applyFill="1" applyBorder="1" applyAlignment="1">
      <alignment vertical="center" shrinkToFit="1"/>
    </xf>
    <xf numFmtId="0" fontId="14" fillId="2" borderId="3" xfId="11" applyFont="1" applyFill="1" applyBorder="1" applyAlignment="1">
      <alignment vertical="center" shrinkToFit="1"/>
    </xf>
    <xf numFmtId="0" fontId="14" fillId="3" borderId="4" xfId="11" applyFont="1" applyFill="1" applyBorder="1" applyAlignment="1">
      <alignment horizontal="center" vertical="center"/>
    </xf>
    <xf numFmtId="0" fontId="14" fillId="3" borderId="2" xfId="11" applyFont="1" applyFill="1" applyBorder="1" applyAlignment="1">
      <alignment horizontal="center" vertical="center"/>
    </xf>
    <xf numFmtId="0" fontId="14" fillId="3" borderId="3" xfId="11" applyFont="1" applyFill="1" applyBorder="1" applyAlignment="1">
      <alignment horizontal="center" vertical="center"/>
    </xf>
    <xf numFmtId="0" fontId="12" fillId="2" borderId="11" xfId="11" applyFont="1" applyFill="1" applyBorder="1" applyAlignment="1">
      <alignment horizontal="center" vertical="center" shrinkToFit="1"/>
    </xf>
    <xf numFmtId="0" fontId="12" fillId="2" borderId="5" xfId="11" applyFont="1" applyFill="1" applyBorder="1" applyAlignment="1">
      <alignment horizontal="center" vertical="center" shrinkToFit="1"/>
    </xf>
    <xf numFmtId="0" fontId="12" fillId="2" borderId="12" xfId="11" applyFont="1" applyFill="1" applyBorder="1" applyAlignment="1">
      <alignment horizontal="center" vertical="center" shrinkToFit="1"/>
    </xf>
    <xf numFmtId="0" fontId="12" fillId="2" borderId="8" xfId="11" applyFont="1" applyFill="1" applyBorder="1" applyAlignment="1">
      <alignment horizontal="center" vertical="center" shrinkToFit="1"/>
    </xf>
    <xf numFmtId="0" fontId="12" fillId="2" borderId="9" xfId="11" applyFont="1" applyFill="1" applyBorder="1" applyAlignment="1">
      <alignment horizontal="center" vertical="center" shrinkToFit="1"/>
    </xf>
    <xf numFmtId="0" fontId="12" fillId="2" borderId="10" xfId="11" applyFont="1" applyFill="1" applyBorder="1" applyAlignment="1">
      <alignment horizontal="center" vertical="center" shrinkToFit="1"/>
    </xf>
    <xf numFmtId="0" fontId="17" fillId="0" borderId="11" xfId="0" applyNumberFormat="1" applyFont="1" applyBorder="1" applyAlignment="1">
      <alignment vertical="top" wrapText="1"/>
    </xf>
    <xf numFmtId="0" fontId="17" fillId="0" borderId="5" xfId="0" applyNumberFormat="1" applyFont="1" applyBorder="1" applyAlignment="1">
      <alignment vertical="top" wrapText="1"/>
    </xf>
    <xf numFmtId="0" fontId="17" fillId="0" borderId="12" xfId="0" applyNumberFormat="1" applyFont="1" applyBorder="1" applyAlignment="1">
      <alignment vertical="top" wrapText="1"/>
    </xf>
    <xf numFmtId="0" fontId="17" fillId="0" borderId="8" xfId="0" applyNumberFormat="1" applyFont="1" applyBorder="1" applyAlignment="1">
      <alignment vertical="top" wrapText="1"/>
    </xf>
    <xf numFmtId="0" fontId="17" fillId="0" borderId="9" xfId="0" applyNumberFormat="1" applyFont="1" applyBorder="1" applyAlignment="1">
      <alignment vertical="top" wrapText="1"/>
    </xf>
    <xf numFmtId="0" fontId="17" fillId="0" borderId="10" xfId="0" applyNumberFormat="1" applyFont="1" applyBorder="1" applyAlignment="1">
      <alignment vertical="top" wrapText="1"/>
    </xf>
    <xf numFmtId="0" fontId="16" fillId="2" borderId="11" xfId="12" applyFont="1" applyFill="1" applyBorder="1" applyAlignment="1">
      <alignment vertical="top" wrapText="1"/>
    </xf>
    <xf numFmtId="0" fontId="16" fillId="2" borderId="5" xfId="12" applyFont="1" applyFill="1" applyBorder="1" applyAlignment="1">
      <alignment vertical="top" wrapText="1"/>
    </xf>
    <xf numFmtId="0" fontId="16" fillId="2" borderId="12" xfId="12" applyFont="1" applyFill="1" applyBorder="1" applyAlignment="1">
      <alignment vertical="top" wrapText="1"/>
    </xf>
    <xf numFmtId="0" fontId="16" fillId="2" borderId="8" xfId="12" applyFont="1" applyFill="1" applyBorder="1" applyAlignment="1">
      <alignment vertical="top" wrapText="1"/>
    </xf>
    <xf numFmtId="0" fontId="16" fillId="2" borderId="9" xfId="12" applyFont="1" applyFill="1" applyBorder="1" applyAlignment="1">
      <alignment vertical="top" wrapText="1"/>
    </xf>
    <xf numFmtId="0" fontId="16" fillId="2" borderId="10" xfId="12" applyFont="1" applyFill="1" applyBorder="1" applyAlignment="1">
      <alignment vertical="top" wrapText="1"/>
    </xf>
    <xf numFmtId="49" fontId="16" fillId="2" borderId="11" xfId="0" applyNumberFormat="1" applyFont="1" applyFill="1" applyBorder="1" applyAlignment="1">
      <alignment vertical="top" wrapText="1"/>
    </xf>
    <xf numFmtId="0" fontId="16" fillId="2" borderId="5" xfId="0" applyNumberFormat="1" applyFont="1" applyFill="1" applyBorder="1" applyAlignment="1">
      <alignment vertical="top" wrapText="1"/>
    </xf>
    <xf numFmtId="0" fontId="16" fillId="2" borderId="12" xfId="0" applyNumberFormat="1" applyFont="1" applyFill="1" applyBorder="1" applyAlignment="1">
      <alignment vertical="top" wrapText="1"/>
    </xf>
    <xf numFmtId="0" fontId="16" fillId="2" borderId="8" xfId="0" applyNumberFormat="1" applyFont="1" applyFill="1" applyBorder="1" applyAlignment="1">
      <alignment vertical="top" wrapText="1"/>
    </xf>
    <xf numFmtId="0" fontId="16" fillId="2" borderId="9" xfId="0" applyNumberFormat="1" applyFont="1" applyFill="1" applyBorder="1" applyAlignment="1">
      <alignment vertical="top" wrapText="1"/>
    </xf>
    <xf numFmtId="0" fontId="16" fillId="2" borderId="10" xfId="0" applyNumberFormat="1" applyFont="1" applyFill="1" applyBorder="1" applyAlignment="1">
      <alignment vertical="top" wrapText="1"/>
    </xf>
    <xf numFmtId="49" fontId="16" fillId="2" borderId="11" xfId="12" applyNumberFormat="1" applyFont="1" applyFill="1" applyBorder="1" applyAlignment="1">
      <alignment horizontal="center" vertical="center"/>
    </xf>
    <xf numFmtId="49" fontId="16" fillId="2" borderId="12" xfId="12" applyNumberFormat="1" applyFont="1" applyFill="1" applyBorder="1" applyAlignment="1">
      <alignment horizontal="center" vertical="center"/>
    </xf>
    <xf numFmtId="49" fontId="16" fillId="2" borderId="8" xfId="12" applyNumberFormat="1" applyFont="1" applyFill="1" applyBorder="1" applyAlignment="1">
      <alignment horizontal="center" vertical="center"/>
    </xf>
    <xf numFmtId="49" fontId="16" fillId="2" borderId="10" xfId="12" applyNumberFormat="1" applyFont="1" applyFill="1" applyBorder="1" applyAlignment="1">
      <alignment horizontal="center" vertical="center"/>
    </xf>
    <xf numFmtId="0" fontId="16" fillId="2" borderId="11" xfId="12" applyFont="1" applyFill="1" applyBorder="1" applyAlignment="1">
      <alignment horizontal="center" vertical="top" wrapText="1"/>
    </xf>
    <xf numFmtId="0" fontId="16" fillId="2" borderId="5" xfId="12" applyFont="1" applyFill="1" applyBorder="1" applyAlignment="1">
      <alignment horizontal="center" vertical="top" wrapText="1"/>
    </xf>
    <xf numFmtId="0" fontId="16" fillId="2" borderId="12" xfId="12" applyFont="1" applyFill="1" applyBorder="1" applyAlignment="1">
      <alignment horizontal="center" vertical="top" wrapText="1"/>
    </xf>
    <xf numFmtId="0" fontId="16" fillId="2" borderId="8" xfId="12" applyFont="1" applyFill="1" applyBorder="1" applyAlignment="1">
      <alignment horizontal="center" vertical="top" wrapText="1"/>
    </xf>
    <xf numFmtId="0" fontId="16" fillId="2" borderId="9" xfId="12" applyFont="1" applyFill="1" applyBorder="1" applyAlignment="1">
      <alignment horizontal="center" vertical="top" wrapText="1"/>
    </xf>
    <xf numFmtId="0" fontId="16" fillId="2" borderId="10" xfId="12" applyFont="1" applyFill="1" applyBorder="1" applyAlignment="1">
      <alignment horizontal="center" vertical="top" wrapText="1"/>
    </xf>
    <xf numFmtId="0" fontId="16" fillId="4" borderId="11" xfId="12" applyFont="1" applyFill="1" applyBorder="1" applyAlignment="1">
      <alignment vertical="top" wrapText="1"/>
    </xf>
    <xf numFmtId="0" fontId="16" fillId="4" borderId="5" xfId="12" applyFont="1" applyFill="1" applyBorder="1" applyAlignment="1">
      <alignment vertical="top" wrapText="1"/>
    </xf>
    <xf numFmtId="0" fontId="16" fillId="4" borderId="12" xfId="12" applyFont="1" applyFill="1" applyBorder="1" applyAlignment="1">
      <alignment vertical="top" wrapText="1"/>
    </xf>
    <xf numFmtId="0" fontId="16" fillId="4" borderId="8" xfId="12" applyFont="1" applyFill="1" applyBorder="1" applyAlignment="1">
      <alignment vertical="top" wrapText="1"/>
    </xf>
    <xf numFmtId="0" fontId="16" fillId="4" borderId="9" xfId="12" applyFont="1" applyFill="1" applyBorder="1" applyAlignment="1">
      <alignment vertical="top" wrapText="1"/>
    </xf>
    <xf numFmtId="0" fontId="16" fillId="4" borderId="10" xfId="12" applyFont="1" applyFill="1" applyBorder="1" applyAlignment="1">
      <alignment vertical="top" wrapText="1"/>
    </xf>
    <xf numFmtId="0" fontId="15" fillId="0" borderId="11" xfId="0" applyNumberFormat="1" applyFont="1" applyBorder="1" applyAlignment="1">
      <alignment vertical="top" wrapText="1"/>
    </xf>
    <xf numFmtId="0" fontId="15" fillId="0" borderId="5" xfId="0" applyNumberFormat="1" applyFont="1" applyBorder="1" applyAlignment="1">
      <alignment vertical="top" wrapText="1"/>
    </xf>
    <xf numFmtId="0" fontId="15" fillId="0" borderId="12" xfId="0" applyNumberFormat="1" applyFont="1" applyBorder="1" applyAlignment="1">
      <alignment vertical="top" wrapText="1"/>
    </xf>
    <xf numFmtId="0" fontId="15" fillId="0" borderId="8" xfId="0" applyNumberFormat="1" applyFont="1" applyBorder="1" applyAlignment="1">
      <alignment vertical="top" wrapText="1"/>
    </xf>
    <xf numFmtId="0" fontId="15" fillId="0" borderId="9" xfId="0" applyNumberFormat="1" applyFont="1" applyBorder="1" applyAlignment="1">
      <alignment vertical="top" wrapText="1"/>
    </xf>
    <xf numFmtId="0" fontId="15" fillId="0" borderId="10" xfId="0" applyNumberFormat="1" applyFont="1" applyBorder="1" applyAlignment="1">
      <alignment vertical="top" wrapText="1"/>
    </xf>
    <xf numFmtId="0" fontId="0" fillId="2" borderId="11" xfId="12" applyFont="1" applyFill="1" applyBorder="1" applyAlignment="1">
      <alignment vertical="top" wrapText="1"/>
    </xf>
    <xf numFmtId="0" fontId="1" fillId="2" borderId="5" xfId="12" applyFont="1" applyFill="1" applyBorder="1" applyAlignment="1">
      <alignment vertical="top" wrapText="1"/>
    </xf>
    <xf numFmtId="0" fontId="1" fillId="2" borderId="12" xfId="12" applyFont="1" applyFill="1" applyBorder="1" applyAlignment="1">
      <alignment vertical="top" wrapText="1"/>
    </xf>
    <xf numFmtId="0" fontId="1" fillId="2" borderId="8" xfId="12" applyFont="1" applyFill="1" applyBorder="1" applyAlignment="1">
      <alignment vertical="top" wrapText="1"/>
    </xf>
    <xf numFmtId="0" fontId="1" fillId="2" borderId="9" xfId="12" applyFont="1" applyFill="1" applyBorder="1" applyAlignment="1">
      <alignment vertical="top" wrapText="1"/>
    </xf>
    <xf numFmtId="0" fontId="1" fillId="2" borderId="10" xfId="12" applyFont="1" applyFill="1" applyBorder="1" applyAlignment="1">
      <alignment vertical="top" wrapText="1"/>
    </xf>
    <xf numFmtId="49" fontId="0" fillId="2" borderId="11" xfId="0" applyNumberFormat="1" applyFont="1" applyFill="1" applyBorder="1" applyAlignment="1">
      <alignment vertical="top" wrapText="1"/>
    </xf>
    <xf numFmtId="0" fontId="0" fillId="2" borderId="5" xfId="0" applyNumberFormat="1" applyFont="1" applyFill="1" applyBorder="1" applyAlignment="1">
      <alignment vertical="top" wrapText="1"/>
    </xf>
    <xf numFmtId="0" fontId="0" fillId="2" borderId="12" xfId="0" applyNumberFormat="1" applyFont="1" applyFill="1" applyBorder="1" applyAlignment="1">
      <alignment vertical="top" wrapText="1"/>
    </xf>
    <xf numFmtId="0" fontId="0" fillId="2" borderId="8" xfId="0" applyNumberFormat="1" applyFont="1" applyFill="1" applyBorder="1" applyAlignment="1">
      <alignment vertical="top" wrapText="1"/>
    </xf>
    <xf numFmtId="0" fontId="0" fillId="2" borderId="9" xfId="0" applyNumberFormat="1" applyFont="1" applyFill="1" applyBorder="1" applyAlignment="1">
      <alignment vertical="top" wrapText="1"/>
    </xf>
    <xf numFmtId="0" fontId="0" fillId="2" borderId="10" xfId="0" applyNumberFormat="1" applyFont="1" applyFill="1" applyBorder="1" applyAlignment="1">
      <alignment vertical="top" wrapText="1"/>
    </xf>
    <xf numFmtId="49" fontId="1" fillId="2" borderId="11" xfId="12" applyNumberFormat="1" applyFont="1" applyFill="1" applyBorder="1" applyAlignment="1">
      <alignment horizontal="center" vertical="center"/>
    </xf>
    <xf numFmtId="49" fontId="1" fillId="2" borderId="12" xfId="12" applyNumberFormat="1" applyFont="1" applyFill="1" applyBorder="1" applyAlignment="1">
      <alignment horizontal="center" vertical="center"/>
    </xf>
    <xf numFmtId="49" fontId="1" fillId="2" borderId="8" xfId="12" applyNumberFormat="1" applyFont="1" applyFill="1" applyBorder="1" applyAlignment="1">
      <alignment horizontal="center" vertical="center"/>
    </xf>
    <xf numFmtId="49" fontId="1" fillId="2" borderId="10" xfId="12" applyNumberFormat="1" applyFont="1" applyFill="1" applyBorder="1" applyAlignment="1">
      <alignment horizontal="center" vertical="center"/>
    </xf>
    <xf numFmtId="0" fontId="0" fillId="2" borderId="11" xfId="12" applyFont="1" applyFill="1" applyBorder="1" applyAlignment="1">
      <alignment horizontal="center" vertical="top" wrapText="1"/>
    </xf>
    <xf numFmtId="0" fontId="1" fillId="2" borderId="5" xfId="12" applyFont="1" applyFill="1" applyBorder="1" applyAlignment="1">
      <alignment horizontal="center" vertical="top" wrapText="1"/>
    </xf>
    <xf numFmtId="0" fontId="1" fillId="2" borderId="12" xfId="12" applyFont="1" applyFill="1" applyBorder="1" applyAlignment="1">
      <alignment horizontal="center" vertical="top" wrapText="1"/>
    </xf>
    <xf numFmtId="0" fontId="1" fillId="2" borderId="8" xfId="12" applyFont="1" applyFill="1" applyBorder="1" applyAlignment="1">
      <alignment horizontal="center" vertical="top" wrapText="1"/>
    </xf>
    <xf numFmtId="0" fontId="1" fillId="2" borderId="9" xfId="12" applyFont="1" applyFill="1" applyBorder="1" applyAlignment="1">
      <alignment horizontal="center" vertical="top" wrapText="1"/>
    </xf>
    <xf numFmtId="0" fontId="1" fillId="2" borderId="10" xfId="12" applyFont="1" applyFill="1" applyBorder="1" applyAlignment="1">
      <alignment horizontal="center" vertical="top" wrapText="1"/>
    </xf>
    <xf numFmtId="0" fontId="1" fillId="4" borderId="11" xfId="12" applyFont="1" applyFill="1" applyBorder="1" applyAlignment="1">
      <alignment vertical="top" wrapText="1"/>
    </xf>
    <xf numFmtId="0" fontId="1" fillId="4" borderId="5" xfId="12" applyFont="1" applyFill="1" applyBorder="1" applyAlignment="1">
      <alignment vertical="top" wrapText="1"/>
    </xf>
    <xf numFmtId="0" fontId="1" fillId="4" borderId="12" xfId="12" applyFont="1" applyFill="1" applyBorder="1" applyAlignment="1">
      <alignment vertical="top" wrapText="1"/>
    </xf>
    <xf numFmtId="0" fontId="1" fillId="4" borderId="8" xfId="12" applyFont="1" applyFill="1" applyBorder="1" applyAlignment="1">
      <alignment vertical="top" wrapText="1"/>
    </xf>
    <xf numFmtId="0" fontId="1" fillId="4" borderId="9" xfId="12" applyFont="1" applyFill="1" applyBorder="1" applyAlignment="1">
      <alignment vertical="top" wrapText="1"/>
    </xf>
    <xf numFmtId="0" fontId="1" fillId="4" borderId="10" xfId="12" applyFont="1" applyFill="1" applyBorder="1" applyAlignment="1">
      <alignment vertical="top" wrapText="1"/>
    </xf>
    <xf numFmtId="49" fontId="0" fillId="2" borderId="11" xfId="12" applyNumberFormat="1" applyFont="1" applyFill="1" applyBorder="1" applyAlignment="1">
      <alignment horizontal="center" vertical="center"/>
    </xf>
    <xf numFmtId="0" fontId="14" fillId="4" borderId="4" xfId="11" applyFont="1" applyFill="1" applyBorder="1" applyAlignment="1">
      <alignment horizontal="center" vertical="center"/>
    </xf>
    <xf numFmtId="0" fontId="14" fillId="4" borderId="2" xfId="11" applyFont="1" applyFill="1" applyBorder="1" applyAlignment="1">
      <alignment horizontal="center" vertical="center"/>
    </xf>
    <xf numFmtId="0" fontId="14" fillId="4" borderId="3" xfId="11" applyFont="1" applyFill="1" applyBorder="1" applyAlignment="1">
      <alignment horizontal="center" vertical="center"/>
    </xf>
    <xf numFmtId="49" fontId="15" fillId="0" borderId="11" xfId="0" applyNumberFormat="1" applyFont="1" applyBorder="1" applyAlignment="1">
      <alignment vertical="top" wrapText="1"/>
    </xf>
    <xf numFmtId="49" fontId="15" fillId="0" borderId="5" xfId="0" applyNumberFormat="1" applyFont="1" applyBorder="1" applyAlignment="1">
      <alignment vertical="top" wrapText="1"/>
    </xf>
    <xf numFmtId="49" fontId="15" fillId="0" borderId="12" xfId="0" applyNumberFormat="1" applyFont="1" applyBorder="1" applyAlignment="1">
      <alignment vertical="top" wrapText="1"/>
    </xf>
    <xf numFmtId="49" fontId="15" fillId="0" borderId="8" xfId="0" applyNumberFormat="1" applyFont="1" applyBorder="1" applyAlignment="1">
      <alignment vertical="top" wrapText="1"/>
    </xf>
    <xf numFmtId="49" fontId="15" fillId="0" borderId="9" xfId="0" applyNumberFormat="1" applyFont="1" applyBorder="1" applyAlignment="1">
      <alignment vertical="top" wrapText="1"/>
    </xf>
    <xf numFmtId="49" fontId="15" fillId="0" borderId="10" xfId="0" applyNumberFormat="1" applyFont="1" applyBorder="1" applyAlignment="1">
      <alignment vertical="top" wrapText="1"/>
    </xf>
    <xf numFmtId="49" fontId="1" fillId="2" borderId="11" xfId="0" applyNumberFormat="1" applyFont="1" applyFill="1" applyBorder="1" applyAlignment="1">
      <alignment vertical="top"/>
    </xf>
    <xf numFmtId="49" fontId="1" fillId="2" borderId="5" xfId="0" applyNumberFormat="1" applyFont="1" applyFill="1" applyBorder="1" applyAlignment="1">
      <alignment vertical="top"/>
    </xf>
    <xf numFmtId="49" fontId="1" fillId="2" borderId="12" xfId="0" applyNumberFormat="1" applyFont="1" applyFill="1" applyBorder="1" applyAlignment="1">
      <alignment vertical="top"/>
    </xf>
    <xf numFmtId="49" fontId="1" fillId="2" borderId="8" xfId="0" applyNumberFormat="1" applyFont="1" applyFill="1" applyBorder="1" applyAlignment="1">
      <alignment vertical="top"/>
    </xf>
    <xf numFmtId="49" fontId="1" fillId="2" borderId="9" xfId="0" applyNumberFormat="1" applyFont="1" applyFill="1" applyBorder="1" applyAlignment="1">
      <alignment vertical="top"/>
    </xf>
    <xf numFmtId="49" fontId="1" fillId="2" borderId="10" xfId="0" applyNumberFormat="1" applyFont="1" applyFill="1" applyBorder="1" applyAlignment="1">
      <alignment vertical="top"/>
    </xf>
    <xf numFmtId="0" fontId="1" fillId="2" borderId="11" xfId="12" applyFont="1" applyFill="1" applyBorder="1" applyAlignment="1">
      <alignment horizontal="center" vertical="top" wrapText="1"/>
    </xf>
    <xf numFmtId="49" fontId="0" fillId="2" borderId="11" xfId="12" quotePrefix="1" applyNumberFormat="1" applyFont="1" applyFill="1" applyBorder="1" applyAlignment="1">
      <alignment horizontal="center" vertical="center"/>
    </xf>
    <xf numFmtId="49" fontId="0" fillId="2" borderId="11" xfId="0" quotePrefix="1" applyNumberFormat="1" applyFont="1" applyFill="1" applyBorder="1" applyAlignment="1">
      <alignment vertical="top" wrapText="1"/>
    </xf>
    <xf numFmtId="0" fontId="12" fillId="2" borderId="11" xfId="11" applyNumberFormat="1" applyFont="1" applyFill="1" applyBorder="1" applyAlignment="1">
      <alignment horizontal="center" vertical="center" shrinkToFit="1"/>
    </xf>
    <xf numFmtId="0" fontId="12" fillId="2" borderId="5" xfId="11" applyNumberFormat="1" applyFont="1" applyFill="1" applyBorder="1" applyAlignment="1">
      <alignment horizontal="center" vertical="center" shrinkToFit="1"/>
    </xf>
    <xf numFmtId="0" fontId="12" fillId="2" borderId="12" xfId="11" applyNumberFormat="1" applyFont="1" applyFill="1" applyBorder="1" applyAlignment="1">
      <alignment horizontal="center" vertical="center" shrinkToFit="1"/>
    </xf>
    <xf numFmtId="0" fontId="12" fillId="2" borderId="8" xfId="11" applyNumberFormat="1" applyFont="1" applyFill="1" applyBorder="1" applyAlignment="1">
      <alignment horizontal="center" vertical="center" shrinkToFit="1"/>
    </xf>
    <xf numFmtId="0" fontId="12" fillId="2" borderId="9" xfId="11" applyNumberFormat="1" applyFont="1" applyFill="1" applyBorder="1" applyAlignment="1">
      <alignment horizontal="center" vertical="center" shrinkToFit="1"/>
    </xf>
    <xf numFmtId="0" fontId="12" fillId="2" borderId="10" xfId="11" applyNumberFormat="1" applyFont="1" applyFill="1" applyBorder="1" applyAlignment="1">
      <alignment horizontal="center" vertical="center" shrinkToFit="1"/>
    </xf>
    <xf numFmtId="0" fontId="14" fillId="2" borderId="5" xfId="0" applyFont="1" applyFill="1" applyBorder="1" applyAlignment="1">
      <alignment horizontal="center" vertical="center" shrinkToFit="1"/>
    </xf>
    <xf numFmtId="0" fontId="14" fillId="2" borderId="12" xfId="0" applyFont="1" applyFill="1" applyBorder="1" applyAlignment="1">
      <alignment horizontal="center" vertical="center" shrinkToFit="1"/>
    </xf>
    <xf numFmtId="0" fontId="14" fillId="2" borderId="8" xfId="0" applyFont="1" applyFill="1" applyBorder="1" applyAlignment="1">
      <alignment horizontal="center" vertical="center" shrinkToFit="1"/>
    </xf>
    <xf numFmtId="0" fontId="14" fillId="2" borderId="9" xfId="0" applyFont="1" applyFill="1" applyBorder="1" applyAlignment="1">
      <alignment horizontal="center" vertical="center" shrinkToFit="1"/>
    </xf>
    <xf numFmtId="0" fontId="14" fillId="2" borderId="10" xfId="0" applyFont="1" applyFill="1" applyBorder="1" applyAlignment="1">
      <alignment horizontal="center" vertical="center" shrinkToFit="1"/>
    </xf>
    <xf numFmtId="49" fontId="17" fillId="0" borderId="11" xfId="0" applyNumberFormat="1" applyFont="1" applyBorder="1" applyAlignment="1">
      <alignment vertical="top" wrapText="1"/>
    </xf>
    <xf numFmtId="49" fontId="17" fillId="0" borderId="5" xfId="0" applyNumberFormat="1" applyFont="1" applyBorder="1" applyAlignment="1">
      <alignment vertical="top" wrapText="1"/>
    </xf>
    <xf numFmtId="49" fontId="17" fillId="0" borderId="12" xfId="0" applyNumberFormat="1" applyFont="1" applyBorder="1" applyAlignment="1">
      <alignment vertical="top" wrapText="1"/>
    </xf>
    <xf numFmtId="49" fontId="17" fillId="0" borderId="8" xfId="0" applyNumberFormat="1" applyFont="1" applyBorder="1" applyAlignment="1">
      <alignment vertical="top" wrapText="1"/>
    </xf>
    <xf numFmtId="49" fontId="17" fillId="0" borderId="9" xfId="0" applyNumberFormat="1" applyFont="1" applyBorder="1" applyAlignment="1">
      <alignment vertical="top" wrapText="1"/>
    </xf>
    <xf numFmtId="49" fontId="17" fillId="0" borderId="10" xfId="0" applyNumberFormat="1" applyFont="1" applyBorder="1" applyAlignment="1">
      <alignment vertical="top" wrapText="1"/>
    </xf>
    <xf numFmtId="49" fontId="16" fillId="2" borderId="11" xfId="0" quotePrefix="1" applyNumberFormat="1" applyFont="1" applyFill="1" applyBorder="1" applyAlignment="1">
      <alignment vertical="top"/>
    </xf>
    <xf numFmtId="49" fontId="16" fillId="2" borderId="5" xfId="0" applyNumberFormat="1" applyFont="1" applyFill="1" applyBorder="1" applyAlignment="1">
      <alignment vertical="top"/>
    </xf>
    <xf numFmtId="49" fontId="16" fillId="2" borderId="12" xfId="0" applyNumberFormat="1" applyFont="1" applyFill="1" applyBorder="1" applyAlignment="1">
      <alignment vertical="top"/>
    </xf>
    <xf numFmtId="49" fontId="16" fillId="2" borderId="8" xfId="0" applyNumberFormat="1" applyFont="1" applyFill="1" applyBorder="1" applyAlignment="1">
      <alignment vertical="top"/>
    </xf>
    <xf numFmtId="49" fontId="16" fillId="2" borderId="9" xfId="0" applyNumberFormat="1" applyFont="1" applyFill="1" applyBorder="1" applyAlignment="1">
      <alignment vertical="top"/>
    </xf>
    <xf numFmtId="49" fontId="16" fillId="2" borderId="10" xfId="0" applyNumberFormat="1" applyFont="1" applyFill="1" applyBorder="1" applyAlignment="1">
      <alignment vertical="top"/>
    </xf>
    <xf numFmtId="0" fontId="1" fillId="2" borderId="16" xfId="12" applyFont="1" applyFill="1" applyBorder="1" applyAlignment="1">
      <alignment vertical="top"/>
    </xf>
    <xf numFmtId="0" fontId="1" fillId="2" borderId="18" xfId="12" applyFont="1" applyFill="1" applyBorder="1" applyAlignment="1">
      <alignment vertical="top"/>
    </xf>
    <xf numFmtId="0" fontId="1" fillId="2" borderId="17" xfId="12" applyFont="1" applyFill="1" applyBorder="1" applyAlignment="1">
      <alignment vertical="top"/>
    </xf>
    <xf numFmtId="49" fontId="16" fillId="2" borderId="11" xfId="12" quotePrefix="1" applyNumberFormat="1" applyFont="1" applyFill="1" applyBorder="1" applyAlignment="1">
      <alignment horizontal="center" vertical="center"/>
    </xf>
    <xf numFmtId="0" fontId="0" fillId="4" borderId="11" xfId="12" applyFont="1" applyFill="1" applyBorder="1" applyAlignment="1">
      <alignment vertical="top" wrapText="1"/>
    </xf>
    <xf numFmtId="49" fontId="0" fillId="2" borderId="11" xfId="0" quotePrefix="1" applyNumberFormat="1" applyFont="1" applyFill="1" applyBorder="1" applyAlignment="1">
      <alignment vertical="top"/>
    </xf>
    <xf numFmtId="49" fontId="0" fillId="2" borderId="6" xfId="12" quotePrefix="1" applyNumberFormat="1" applyFont="1" applyFill="1" applyBorder="1" applyAlignment="1">
      <alignment horizontal="center" vertical="center"/>
    </xf>
    <xf numFmtId="49" fontId="1" fillId="2" borderId="7" xfId="12" applyNumberFormat="1" applyFont="1" applyFill="1" applyBorder="1" applyAlignment="1">
      <alignment horizontal="center" vertical="center"/>
    </xf>
    <xf numFmtId="0" fontId="0" fillId="2" borderId="6" xfId="12" applyFont="1" applyFill="1" applyBorder="1" applyAlignment="1">
      <alignment horizontal="center" vertical="top" wrapText="1"/>
    </xf>
    <xf numFmtId="0" fontId="1" fillId="2" borderId="0" xfId="12" applyFont="1" applyFill="1" applyBorder="1" applyAlignment="1">
      <alignment horizontal="center" vertical="top" wrapText="1"/>
    </xf>
    <xf numFmtId="0" fontId="1" fillId="2" borderId="7" xfId="12" applyFont="1" applyFill="1" applyBorder="1" applyAlignment="1">
      <alignment horizontal="center" vertical="top" wrapText="1"/>
    </xf>
    <xf numFmtId="0" fontId="0" fillId="4" borderId="6" xfId="12" applyFont="1" applyFill="1" applyBorder="1" applyAlignment="1">
      <alignment vertical="top" wrapText="1"/>
    </xf>
    <xf numFmtId="0" fontId="1" fillId="4" borderId="0" xfId="12" applyFont="1" applyFill="1" applyBorder="1" applyAlignment="1">
      <alignment vertical="top" wrapText="1"/>
    </xf>
    <xf numFmtId="0" fontId="1" fillId="4" borderId="7" xfId="12" applyFont="1" applyFill="1" applyBorder="1" applyAlignment="1">
      <alignment vertical="top" wrapText="1"/>
    </xf>
    <xf numFmtId="49" fontId="15" fillId="0" borderId="6" xfId="0" applyNumberFormat="1" applyFont="1" applyBorder="1" applyAlignment="1">
      <alignment vertical="top" wrapText="1"/>
    </xf>
    <xf numFmtId="49" fontId="15" fillId="0" borderId="0" xfId="0" applyNumberFormat="1" applyFont="1" applyBorder="1" applyAlignment="1">
      <alignment vertical="top" wrapText="1"/>
    </xf>
    <xf numFmtId="49" fontId="15" fillId="0" borderId="7" xfId="0" applyNumberFormat="1" applyFont="1" applyBorder="1" applyAlignment="1">
      <alignment vertical="top" wrapText="1"/>
    </xf>
    <xf numFmtId="0" fontId="0" fillId="2" borderId="6" xfId="12" applyFont="1" applyFill="1" applyBorder="1" applyAlignment="1">
      <alignment vertical="top" wrapText="1"/>
    </xf>
    <xf numFmtId="0" fontId="1" fillId="2" borderId="0" xfId="12" applyFont="1" applyFill="1" applyBorder="1" applyAlignment="1">
      <alignment vertical="top" wrapText="1"/>
    </xf>
    <xf numFmtId="0" fontId="1" fillId="2" borderId="7" xfId="12" applyFont="1" applyFill="1" applyBorder="1" applyAlignment="1">
      <alignment vertical="top" wrapText="1"/>
    </xf>
    <xf numFmtId="49" fontId="0" fillId="2" borderId="6" xfId="0" quotePrefix="1" applyNumberFormat="1" applyFont="1" applyFill="1" applyBorder="1" applyAlignment="1">
      <alignment vertical="top" wrapText="1"/>
    </xf>
    <xf numFmtId="49" fontId="1" fillId="2" borderId="0" xfId="0" applyNumberFormat="1" applyFont="1" applyFill="1" applyBorder="1" applyAlignment="1">
      <alignment vertical="top"/>
    </xf>
    <xf numFmtId="49" fontId="1" fillId="2" borderId="7" xfId="0" applyNumberFormat="1" applyFont="1" applyFill="1" applyBorder="1" applyAlignment="1">
      <alignment vertical="top"/>
    </xf>
    <xf numFmtId="49" fontId="15" fillId="0" borderId="4" xfId="0" applyNumberFormat="1" applyFont="1" applyBorder="1" applyAlignment="1">
      <alignment horizontal="center" vertical="top"/>
    </xf>
    <xf numFmtId="49" fontId="15" fillId="0" borderId="2" xfId="0" applyNumberFormat="1" applyFont="1" applyBorder="1" applyAlignment="1">
      <alignment horizontal="center" vertical="top"/>
    </xf>
    <xf numFmtId="49" fontId="15" fillId="0" borderId="3" xfId="0" applyNumberFormat="1" applyFont="1" applyBorder="1" applyAlignment="1">
      <alignment horizontal="center" vertical="top"/>
    </xf>
    <xf numFmtId="0" fontId="16" fillId="2" borderId="4" xfId="12" applyFont="1" applyFill="1" applyBorder="1" applyAlignment="1">
      <alignment vertical="top" wrapText="1"/>
    </xf>
    <xf numFmtId="0" fontId="16" fillId="2" borderId="2" xfId="12" applyFont="1" applyFill="1" applyBorder="1" applyAlignment="1">
      <alignment vertical="top" wrapText="1"/>
    </xf>
    <xf numFmtId="0" fontId="16" fillId="2" borderId="3" xfId="12" applyFont="1" applyFill="1" applyBorder="1" applyAlignment="1">
      <alignment vertical="top" wrapText="1"/>
    </xf>
    <xf numFmtId="0" fontId="0" fillId="4" borderId="4" xfId="12" applyFont="1" applyFill="1" applyBorder="1" applyAlignment="1">
      <alignment horizontal="center" vertical="top" wrapText="1"/>
    </xf>
    <xf numFmtId="0" fontId="0" fillId="4" borderId="2" xfId="12" applyFont="1" applyFill="1" applyBorder="1" applyAlignment="1">
      <alignment horizontal="center" vertical="top" wrapText="1"/>
    </xf>
    <xf numFmtId="0" fontId="0" fillId="4" borderId="3" xfId="12" applyFont="1" applyFill="1" applyBorder="1" applyAlignment="1">
      <alignment horizontal="center" vertical="top" wrapText="1"/>
    </xf>
    <xf numFmtId="0" fontId="0" fillId="2" borderId="4" xfId="12" applyFont="1" applyFill="1" applyBorder="1" applyAlignment="1">
      <alignment vertical="top" wrapText="1"/>
    </xf>
    <xf numFmtId="0" fontId="0" fillId="2" borderId="2" xfId="12" applyFont="1" applyFill="1" applyBorder="1" applyAlignment="1">
      <alignment vertical="top" wrapText="1"/>
    </xf>
    <xf numFmtId="0" fontId="0" fillId="2" borderId="3" xfId="12" applyFont="1" applyFill="1" applyBorder="1" applyAlignment="1">
      <alignment vertical="top" wrapText="1"/>
    </xf>
    <xf numFmtId="49" fontId="15" fillId="4" borderId="11" xfId="0" applyNumberFormat="1" applyFont="1" applyFill="1" applyBorder="1" applyAlignment="1">
      <alignment horizontal="center" vertical="top"/>
    </xf>
    <xf numFmtId="49" fontId="15" fillId="4" borderId="5" xfId="0" applyNumberFormat="1" applyFont="1" applyFill="1" applyBorder="1" applyAlignment="1">
      <alignment horizontal="center" vertical="top"/>
    </xf>
    <xf numFmtId="49" fontId="15" fillId="4" borderId="12" xfId="0" applyNumberFormat="1" applyFont="1" applyFill="1" applyBorder="1" applyAlignment="1">
      <alignment horizontal="center" vertical="top"/>
    </xf>
    <xf numFmtId="0" fontId="0" fillId="4" borderId="11" xfId="12" applyFont="1" applyFill="1" applyBorder="1" applyAlignment="1">
      <alignment horizontal="center" vertical="top" wrapText="1"/>
    </xf>
    <xf numFmtId="0" fontId="0" fillId="4" borderId="5" xfId="12" applyFont="1" applyFill="1" applyBorder="1" applyAlignment="1">
      <alignment horizontal="center" vertical="top" wrapText="1"/>
    </xf>
    <xf numFmtId="0" fontId="0" fillId="4" borderId="12" xfId="12" applyFont="1" applyFill="1" applyBorder="1" applyAlignment="1">
      <alignment horizontal="center" vertical="top" wrapText="1"/>
    </xf>
    <xf numFmtId="0" fontId="0" fillId="4" borderId="5" xfId="12" applyFont="1" applyFill="1" applyBorder="1" applyAlignment="1">
      <alignment vertical="top" wrapText="1"/>
    </xf>
    <xf numFmtId="0" fontId="0" fillId="4" borderId="12" xfId="12" applyFont="1" applyFill="1" applyBorder="1" applyAlignment="1">
      <alignment vertical="top" wrapText="1"/>
    </xf>
    <xf numFmtId="0" fontId="0" fillId="4" borderId="8" xfId="12" applyFont="1" applyFill="1" applyBorder="1" applyAlignment="1">
      <alignment vertical="top" wrapText="1"/>
    </xf>
    <xf numFmtId="0" fontId="0" fillId="4" borderId="9" xfId="12" applyFont="1" applyFill="1" applyBorder="1" applyAlignment="1">
      <alignment vertical="top" wrapText="1"/>
    </xf>
    <xf numFmtId="0" fontId="0" fillId="4" borderId="10" xfId="12" applyFont="1" applyFill="1" applyBorder="1" applyAlignment="1">
      <alignment vertical="top" wrapText="1"/>
    </xf>
    <xf numFmtId="49" fontId="16" fillId="7" borderId="11" xfId="12" quotePrefix="1" applyNumberFormat="1" applyFont="1" applyFill="1" applyBorder="1" applyAlignment="1">
      <alignment horizontal="center" vertical="center"/>
    </xf>
    <xf numFmtId="49" fontId="16" fillId="7" borderId="12" xfId="12" applyNumberFormat="1" applyFont="1" applyFill="1" applyBorder="1" applyAlignment="1">
      <alignment horizontal="center" vertical="center"/>
    </xf>
    <xf numFmtId="49" fontId="16" fillId="7" borderId="8" xfId="12" applyNumberFormat="1" applyFont="1" applyFill="1" applyBorder="1" applyAlignment="1">
      <alignment horizontal="center" vertical="center"/>
    </xf>
    <xf numFmtId="49" fontId="16" fillId="7" borderId="10" xfId="12" applyNumberFormat="1" applyFont="1" applyFill="1" applyBorder="1" applyAlignment="1">
      <alignment horizontal="center" vertical="center"/>
    </xf>
  </cellXfs>
  <cellStyles count="13">
    <cellStyle name="Calc Currency (0)" xfId="1" xr:uid="{00000000-0005-0000-0000-000000000000}"/>
    <cellStyle name="entry" xfId="2" xr:uid="{00000000-0005-0000-0000-000001000000}"/>
    <cellStyle name="Header1" xfId="3" xr:uid="{00000000-0005-0000-0000-000002000000}"/>
    <cellStyle name="Header2" xfId="4" xr:uid="{00000000-0005-0000-0000-000003000000}"/>
    <cellStyle name="Normal" xfId="0" builtinId="0"/>
    <cellStyle name="Normal - Style1" xfId="5" xr:uid="{00000000-0005-0000-0000-000004000000}"/>
    <cellStyle name="price" xfId="6" xr:uid="{00000000-0005-0000-0000-000006000000}"/>
    <cellStyle name="revised" xfId="7" xr:uid="{00000000-0005-0000-0000-000007000000}"/>
    <cellStyle name="section" xfId="8" xr:uid="{00000000-0005-0000-0000-000008000000}"/>
    <cellStyle name="subhead" xfId="9" xr:uid="{00000000-0005-0000-0000-000009000000}"/>
    <cellStyle name="title" xfId="10" xr:uid="{00000000-0005-0000-0000-00000A000000}"/>
    <cellStyle name="標準 3 2" xfId="12" xr:uid="{00000000-0005-0000-0000-00000C000000}"/>
    <cellStyle name="標準_変更履歴" xfId="11" xr:uid="{00000000-0005-0000-0000-00000D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001011230/Desktop/&#20633;&#33988;&#21697;&#31649;&#29702;&#12471;&#12473;&#12486;&#12512;/03_&#35373;&#35336;&#26360;/&#9315;&#12501;&#12449;&#12452;&#12523;&#35373;&#35336;&#26360;/05.&#12501;&#12449;&#12452;&#12523;&#35373;&#35336;/02.&#12501;&#12449;&#12452;&#12523;&#35443;&#32048;/02.&#12499;&#12523;&#12487;&#12540;&#12479;&#30331;&#37682;/5.2.2%20&#12499;&#12523;&#12487;&#12540;&#12479;CSV%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次"/>
      <sheetName val="ビルデータCSV_1(ヘッダ)"/>
      <sheetName val="ビルデータCSV_1(データ)"/>
      <sheetName val="ビルデータCSV_2"/>
    </sheetNames>
    <sheetDataSet>
      <sheetData sheetId="0">
        <row r="1">
          <cell r="D1" t="str">
            <v>備蓄品管理システム</v>
          </cell>
        </row>
        <row r="2">
          <cell r="D2" t="str">
            <v>第５章　ファイル設計</v>
          </cell>
        </row>
        <row r="4">
          <cell r="A4" t="str">
            <v>５．２．２　ビルデータ登録</v>
          </cell>
        </row>
        <row r="8">
          <cell r="D8" t="str">
            <v>５．２．２．１　ビルデータCSV</v>
          </cell>
        </row>
      </sheetData>
      <sheetData sheetId="1"/>
      <sheetData sheetId="2"/>
      <sheetData sheetId="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12700">
          <a:solidFill>
            <a:sysClr val="windowText" lastClr="000000"/>
          </a:solidFill>
        </a:ln>
      </a:spPr>
      <a:bodyPr vertOverflow="clip" horzOverflow="clip" rtlCol="0" anchor="t"/>
      <a:lstStyle>
        <a:defPPr algn="l">
          <a:defRPr kumimoji="1" sz="1000">
            <a:solidFill>
              <a:sysClr val="windowText" lastClr="000000"/>
            </a:solidFill>
            <a:latin typeface="ＭＳ Ｐゴシック" panose="020B0600070205080204" pitchFamily="50" charset="-128"/>
            <a:ea typeface="ＭＳ Ｐゴシック" panose="020B0600070205080204" pitchFamily="50"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F57"/>
  <sheetViews>
    <sheetView view="pageBreakPreview" zoomScaleNormal="100" zoomScaleSheetLayoutView="100" workbookViewId="0">
      <selection activeCell="L17" sqref="L17"/>
    </sheetView>
  </sheetViews>
  <sheetFormatPr baseColWidth="10" defaultColWidth="3.59765625" defaultRowHeight="13.5" customHeight="1"/>
  <cols>
    <col min="1" max="26" width="3.59765625" style="1"/>
    <col min="27" max="27" width="3.59765625" style="1" bestFit="1" customWidth="1"/>
    <col min="28" max="28" width="19.3984375" style="1" customWidth="1"/>
    <col min="29" max="29" width="3.59765625" style="1" bestFit="1" customWidth="1"/>
    <col min="30" max="30" width="19.3984375" style="1" customWidth="1"/>
    <col min="31" max="31" width="3.59765625" style="1" bestFit="1" customWidth="1"/>
    <col min="32" max="32" width="19.3984375" style="1" customWidth="1"/>
    <col min="33" max="16384" width="3.59765625" style="1"/>
  </cols>
  <sheetData>
    <row r="1" spans="1:32" ht="13.5" customHeight="1">
      <c r="A1" s="24" t="s">
        <v>5</v>
      </c>
      <c r="B1" s="25"/>
      <c r="C1" s="25"/>
      <c r="D1" s="143" t="s">
        <v>182</v>
      </c>
      <c r="E1" s="144"/>
      <c r="F1" s="144"/>
      <c r="G1" s="144"/>
      <c r="H1" s="144"/>
      <c r="I1" s="144"/>
      <c r="J1" s="144"/>
      <c r="K1" s="144"/>
      <c r="L1" s="144"/>
      <c r="M1" s="144"/>
      <c r="N1" s="144"/>
      <c r="O1" s="144"/>
      <c r="P1" s="144"/>
      <c r="Q1" s="144"/>
      <c r="R1" s="144"/>
      <c r="S1" s="144"/>
      <c r="T1" s="144"/>
      <c r="U1" s="144"/>
      <c r="V1" s="144"/>
      <c r="W1" s="144"/>
      <c r="X1" s="144"/>
      <c r="Y1" s="145"/>
      <c r="AA1" s="141" t="s">
        <v>9</v>
      </c>
      <c r="AB1" s="142"/>
      <c r="AC1" s="141" t="s">
        <v>10</v>
      </c>
      <c r="AD1" s="142"/>
      <c r="AE1" s="141" t="s">
        <v>11</v>
      </c>
      <c r="AF1" s="142"/>
    </row>
    <row r="2" spans="1:32" ht="13.5" customHeight="1">
      <c r="A2" s="24" t="s">
        <v>0</v>
      </c>
      <c r="B2" s="25"/>
      <c r="C2" s="25"/>
      <c r="D2" s="143" t="str">
        <f>"第"&amp;DBCS($AA$3)&amp;"章　"&amp;AB3</f>
        <v>第5章　ファイル設計</v>
      </c>
      <c r="E2" s="144"/>
      <c r="F2" s="144"/>
      <c r="G2" s="144"/>
      <c r="H2" s="144"/>
      <c r="I2" s="144"/>
      <c r="J2" s="144"/>
      <c r="K2" s="144"/>
      <c r="L2" s="144"/>
      <c r="M2" s="144"/>
      <c r="N2" s="144"/>
      <c r="O2" s="144"/>
      <c r="P2" s="144"/>
      <c r="Q2" s="144"/>
      <c r="R2" s="144"/>
      <c r="S2" s="144"/>
      <c r="T2" s="144"/>
      <c r="U2" s="144"/>
      <c r="V2" s="144"/>
      <c r="W2" s="144"/>
      <c r="X2" s="144"/>
      <c r="Y2" s="145"/>
      <c r="AA2" s="17" t="s">
        <v>13</v>
      </c>
      <c r="AB2" s="18" t="s">
        <v>15</v>
      </c>
      <c r="AC2" s="17" t="s">
        <v>13</v>
      </c>
      <c r="AD2" s="18" t="s">
        <v>16</v>
      </c>
      <c r="AE2" s="17" t="s">
        <v>13</v>
      </c>
      <c r="AF2" s="18" t="s">
        <v>14</v>
      </c>
    </row>
    <row r="3" spans="1:32" ht="13.5" customHeight="1">
      <c r="A3" s="146" t="s">
        <v>1</v>
      </c>
      <c r="B3" s="147"/>
      <c r="C3" s="147"/>
      <c r="D3" s="147"/>
      <c r="E3" s="147"/>
      <c r="F3" s="147"/>
      <c r="G3" s="147"/>
      <c r="H3" s="147"/>
      <c r="I3" s="147"/>
      <c r="J3" s="147"/>
      <c r="K3" s="147"/>
      <c r="L3" s="147"/>
      <c r="M3" s="147"/>
      <c r="N3" s="147"/>
      <c r="O3" s="147"/>
      <c r="P3" s="147"/>
      <c r="Q3" s="147"/>
      <c r="R3" s="147"/>
      <c r="S3" s="147"/>
      <c r="T3" s="147"/>
      <c r="U3" s="147"/>
      <c r="V3" s="147"/>
      <c r="W3" s="147"/>
      <c r="X3" s="147"/>
      <c r="Y3" s="148"/>
      <c r="AA3" s="16">
        <v>5</v>
      </c>
      <c r="AB3" s="21" t="s">
        <v>23</v>
      </c>
      <c r="AC3" s="16">
        <v>2</v>
      </c>
      <c r="AD3" s="21" t="s">
        <v>24</v>
      </c>
      <c r="AE3" s="16">
        <v>2</v>
      </c>
      <c r="AF3" s="21" t="s">
        <v>146</v>
      </c>
    </row>
    <row r="4" spans="1:32" ht="13.5" customHeight="1">
      <c r="A4" s="149" t="str">
        <f>IF($AA$3="","",DBCS($AA$3))&amp;IF($AC$3="","",DBCS("."&amp;$AC$3))&amp;IF($AE$3="","",DBCS("."&amp;$AE$3))&amp;DBCS(" ")&amp;$AF$3</f>
        <v>5.2.2 ビルデータ登録</v>
      </c>
      <c r="B4" s="150"/>
      <c r="C4" s="150"/>
      <c r="D4" s="150"/>
      <c r="E4" s="150"/>
      <c r="F4" s="150"/>
      <c r="G4" s="150"/>
      <c r="H4" s="150"/>
      <c r="I4" s="150"/>
      <c r="J4" s="150"/>
      <c r="K4" s="150"/>
      <c r="L4" s="150"/>
      <c r="M4" s="150"/>
      <c r="N4" s="150"/>
      <c r="O4" s="150"/>
      <c r="P4" s="150"/>
      <c r="Q4" s="150"/>
      <c r="R4" s="150"/>
      <c r="S4" s="150"/>
      <c r="T4" s="150"/>
      <c r="U4" s="150"/>
      <c r="V4" s="150"/>
      <c r="W4" s="150"/>
      <c r="X4" s="150"/>
      <c r="Y4" s="151"/>
    </row>
    <row r="5" spans="1:32" ht="13.5" customHeight="1">
      <c r="A5" s="152"/>
      <c r="B5" s="153"/>
      <c r="C5" s="153"/>
      <c r="D5" s="153"/>
      <c r="E5" s="153"/>
      <c r="F5" s="153"/>
      <c r="G5" s="153"/>
      <c r="H5" s="153"/>
      <c r="I5" s="153"/>
      <c r="J5" s="153"/>
      <c r="K5" s="153"/>
      <c r="L5" s="153"/>
      <c r="M5" s="153"/>
      <c r="N5" s="153"/>
      <c r="O5" s="153"/>
      <c r="P5" s="153"/>
      <c r="Q5" s="153"/>
      <c r="R5" s="153"/>
      <c r="S5" s="153"/>
      <c r="T5" s="153"/>
      <c r="U5" s="153"/>
      <c r="V5" s="153"/>
      <c r="W5" s="153"/>
      <c r="X5" s="153"/>
      <c r="Y5" s="154"/>
    </row>
    <row r="6" spans="1:32" ht="13.5" customHeight="1">
      <c r="A6" s="4"/>
      <c r="B6" s="9"/>
      <c r="C6" s="9"/>
      <c r="D6" s="9"/>
      <c r="E6" s="9"/>
      <c r="F6" s="9"/>
      <c r="G6" s="9"/>
      <c r="H6" s="9"/>
      <c r="I6" s="2"/>
      <c r="J6" s="2"/>
      <c r="K6" s="2"/>
      <c r="L6" s="9"/>
      <c r="M6" s="9"/>
      <c r="N6" s="9"/>
      <c r="O6" s="9"/>
      <c r="P6" s="9"/>
      <c r="Q6" s="9"/>
      <c r="R6" s="9"/>
      <c r="S6" s="9"/>
      <c r="T6" s="9"/>
      <c r="U6" s="9"/>
      <c r="V6" s="9"/>
      <c r="W6" s="9"/>
      <c r="X6" s="9"/>
      <c r="Y6" s="11"/>
      <c r="Z6" s="9"/>
      <c r="AA6" s="141" t="s">
        <v>12</v>
      </c>
      <c r="AB6" s="142"/>
      <c r="AC6" s="9"/>
      <c r="AD6" s="9"/>
      <c r="AE6" s="9"/>
      <c r="AF6" s="9"/>
    </row>
    <row r="7" spans="1:32" ht="13.5" customHeight="1">
      <c r="A7" s="4"/>
      <c r="B7" s="9"/>
      <c r="C7" s="2"/>
      <c r="D7" s="2"/>
      <c r="E7" s="2"/>
      <c r="F7" s="2"/>
      <c r="G7" s="2"/>
      <c r="H7" s="2"/>
      <c r="I7" s="2"/>
      <c r="J7" s="2"/>
      <c r="K7" s="2"/>
      <c r="L7" s="2"/>
      <c r="M7" s="2"/>
      <c r="N7" s="9"/>
      <c r="O7" s="9"/>
      <c r="P7" s="9"/>
      <c r="Q7" s="9"/>
      <c r="R7" s="9"/>
      <c r="S7" s="9"/>
      <c r="T7" s="9"/>
      <c r="U7" s="9"/>
      <c r="V7" s="9"/>
      <c r="W7" s="9"/>
      <c r="X7" s="9"/>
      <c r="Y7" s="11"/>
      <c r="Z7" s="9"/>
      <c r="AA7" s="17" t="s">
        <v>13</v>
      </c>
      <c r="AB7" s="18" t="s">
        <v>25</v>
      </c>
      <c r="AC7" s="9"/>
      <c r="AD7" s="9"/>
      <c r="AE7" s="9"/>
      <c r="AF7" s="9"/>
    </row>
    <row r="8" spans="1:32" ht="13.5" customHeight="1">
      <c r="A8" s="4"/>
      <c r="B8" s="9"/>
      <c r="C8" s="2"/>
      <c r="D8" s="13" t="str">
        <f>IF($AA8="","",IF($AA$3="","",DBCS($AA$3))&amp;IF($AC$3="","",DBCS("."&amp;$AC$3))&amp;IF($AE$3="","",DBCS("."&amp;$AE$3))&amp;IF($AA8="","",DBCS("."&amp;$AA8))&amp;DBCS(" ")&amp;$AB8)</f>
        <v>5.2.2.1 ビルデータCSV</v>
      </c>
      <c r="E8" s="2"/>
      <c r="F8" s="13"/>
      <c r="G8" s="2"/>
      <c r="H8" s="2"/>
      <c r="I8" s="2"/>
      <c r="J8" s="2"/>
      <c r="K8" s="2"/>
      <c r="L8" s="2"/>
      <c r="M8" s="2"/>
      <c r="N8" s="9"/>
      <c r="O8" s="9"/>
      <c r="P8" s="9"/>
      <c r="Q8" s="9"/>
      <c r="R8" s="9"/>
      <c r="S8" s="9"/>
      <c r="T8" s="9"/>
      <c r="U8" s="9"/>
      <c r="V8" s="9"/>
      <c r="W8" s="9"/>
      <c r="X8" s="9"/>
      <c r="Y8" s="11"/>
      <c r="Z8" s="9"/>
      <c r="AA8" s="16">
        <v>1</v>
      </c>
      <c r="AB8" s="21" t="s">
        <v>48</v>
      </c>
      <c r="AC8" s="9"/>
      <c r="AD8" s="9"/>
      <c r="AE8" s="9"/>
      <c r="AF8" s="9"/>
    </row>
    <row r="9" spans="1:32" ht="13.5" customHeight="1">
      <c r="A9" s="4"/>
      <c r="B9" s="9"/>
      <c r="C9" s="2"/>
      <c r="D9" s="2"/>
      <c r="E9" s="2"/>
      <c r="F9" s="2"/>
      <c r="G9" s="2"/>
      <c r="H9" s="2"/>
      <c r="I9" s="2"/>
      <c r="J9" s="2"/>
      <c r="K9" s="2"/>
      <c r="L9" s="2"/>
      <c r="M9" s="2"/>
      <c r="N9" s="9"/>
      <c r="O9" s="9"/>
      <c r="P9" s="9"/>
      <c r="Q9" s="9"/>
      <c r="R9" s="9"/>
      <c r="S9" s="9"/>
      <c r="T9" s="9"/>
      <c r="U9" s="9"/>
      <c r="V9" s="9"/>
      <c r="W9" s="9"/>
      <c r="X9" s="9"/>
      <c r="Y9" s="11"/>
      <c r="Z9" s="9"/>
      <c r="AA9" s="19"/>
      <c r="AB9" s="20"/>
      <c r="AC9" s="9"/>
      <c r="AD9" s="9"/>
      <c r="AE9" s="9"/>
      <c r="AF9" s="9"/>
    </row>
    <row r="10" spans="1:32" ht="13.5" customHeight="1">
      <c r="A10" s="4"/>
      <c r="B10" s="9"/>
      <c r="C10" s="2"/>
      <c r="D10" s="13" t="str">
        <f>IF($AA10="","",IF($AA$3="","",DBCS($AA$3))&amp;IF($AC$3="","",DBCS("."&amp;$AC$3))&amp;IF($AE$3="","",DBCS("."&amp;$AE$3))&amp;IF($AA10="","",DBCS("."&amp;$AA10))&amp;DBCS(" ")&amp;$AB10)</f>
        <v/>
      </c>
      <c r="E10" s="2"/>
      <c r="F10" s="9"/>
      <c r="G10" s="9"/>
      <c r="H10" s="9"/>
      <c r="I10" s="2"/>
      <c r="J10" s="2"/>
      <c r="K10" s="2"/>
      <c r="L10" s="2"/>
      <c r="M10" s="2"/>
      <c r="N10" s="9"/>
      <c r="O10" s="9"/>
      <c r="P10" s="9"/>
      <c r="Q10" s="9"/>
      <c r="R10" s="9"/>
      <c r="S10" s="9"/>
      <c r="T10" s="9"/>
      <c r="U10" s="9"/>
      <c r="V10" s="9"/>
      <c r="W10" s="9"/>
      <c r="X10" s="9"/>
      <c r="Y10" s="11"/>
      <c r="Z10" s="9"/>
      <c r="AA10" s="16"/>
      <c r="AB10" s="21"/>
      <c r="AC10" s="9"/>
      <c r="AD10" s="9"/>
      <c r="AE10" s="9"/>
      <c r="AF10" s="9"/>
    </row>
    <row r="11" spans="1:32" ht="13.5" customHeight="1">
      <c r="A11" s="4"/>
      <c r="B11" s="9"/>
      <c r="C11" s="10"/>
      <c r="D11" s="2"/>
      <c r="E11" s="2"/>
      <c r="F11" s="9"/>
      <c r="G11" s="9"/>
      <c r="H11" s="9"/>
      <c r="I11" s="2"/>
      <c r="J11" s="2"/>
      <c r="K11" s="2"/>
      <c r="L11" s="9"/>
      <c r="M11" s="10"/>
      <c r="N11" s="9"/>
      <c r="O11" s="9"/>
      <c r="P11" s="9"/>
      <c r="Q11" s="9"/>
      <c r="R11" s="9"/>
      <c r="S11" s="9"/>
      <c r="T11" s="9"/>
      <c r="U11" s="9"/>
      <c r="V11" s="9"/>
      <c r="W11" s="9"/>
      <c r="X11" s="9"/>
      <c r="Y11" s="11"/>
      <c r="Z11" s="9"/>
      <c r="AA11" s="19"/>
      <c r="AB11" s="20"/>
      <c r="AC11" s="9"/>
      <c r="AD11" s="9"/>
      <c r="AE11" s="9"/>
      <c r="AF11" s="9"/>
    </row>
    <row r="12" spans="1:32" ht="13.5" customHeight="1">
      <c r="A12" s="4"/>
      <c r="B12" s="9"/>
      <c r="C12" s="9"/>
      <c r="D12" s="13" t="str">
        <f t="shared" ref="D12" si="0">IF($AA12="","",IF($AA$3="","",DBCS($AA$3))&amp;IF($AC$3="","",DBCS("."&amp;$AC$3))&amp;IF($AE$3="","",DBCS("."&amp;$AE$3))&amp;IF($AA12="","",DBCS("."&amp;$AA12))&amp;DBCS(" ")&amp;$AB12)</f>
        <v/>
      </c>
      <c r="E12" s="2"/>
      <c r="F12" s="9"/>
      <c r="G12" s="9"/>
      <c r="H12" s="9"/>
      <c r="I12" s="2"/>
      <c r="J12" s="2"/>
      <c r="K12" s="2"/>
      <c r="L12" s="9"/>
      <c r="M12" s="9"/>
      <c r="N12" s="9"/>
      <c r="O12" s="9"/>
      <c r="P12" s="32"/>
      <c r="Q12" s="9"/>
      <c r="R12" s="9"/>
      <c r="S12" s="9"/>
      <c r="T12" s="9"/>
      <c r="U12" s="9"/>
      <c r="V12" s="9"/>
      <c r="W12" s="9"/>
      <c r="X12" s="9"/>
      <c r="Y12" s="11"/>
      <c r="Z12" s="9"/>
      <c r="AA12" s="16"/>
      <c r="AB12" s="21"/>
      <c r="AC12" s="9"/>
      <c r="AD12" s="9"/>
      <c r="AE12" s="9"/>
      <c r="AF12" s="9"/>
    </row>
    <row r="13" spans="1:32" ht="13.5" customHeight="1">
      <c r="A13" s="4"/>
      <c r="B13" s="9"/>
      <c r="C13" s="10"/>
      <c r="D13" s="2"/>
      <c r="I13" s="2"/>
      <c r="J13" s="2"/>
      <c r="K13" s="2"/>
      <c r="L13" s="9"/>
      <c r="M13" s="10"/>
      <c r="N13" s="9"/>
      <c r="O13" s="9"/>
      <c r="P13" s="9"/>
      <c r="Q13" s="9"/>
      <c r="R13" s="9"/>
      <c r="S13" s="9"/>
      <c r="T13" s="9"/>
      <c r="U13" s="9"/>
      <c r="V13" s="9"/>
      <c r="W13" s="9"/>
      <c r="X13" s="9"/>
      <c r="Y13" s="11"/>
      <c r="Z13" s="9"/>
      <c r="AA13" s="19"/>
      <c r="AB13" s="20"/>
      <c r="AC13" s="9"/>
      <c r="AD13" s="9"/>
      <c r="AE13" s="9"/>
      <c r="AF13" s="9"/>
    </row>
    <row r="14" spans="1:32" ht="13.5" customHeight="1">
      <c r="A14" s="4"/>
      <c r="B14" s="9"/>
      <c r="C14" s="9"/>
      <c r="D14" s="13" t="str">
        <f t="shared" ref="D14" si="1">IF($AA14="","",IF($AA$3="","",DBCS($AA$3))&amp;IF($AC$3="","",DBCS("."&amp;$AC$3))&amp;IF($AE$3="","",DBCS("."&amp;$AE$3))&amp;IF($AA14="","",DBCS("."&amp;$AA14))&amp;DBCS(" ")&amp;$AB14)</f>
        <v/>
      </c>
      <c r="I14" s="2"/>
      <c r="J14" s="2"/>
      <c r="K14" s="2"/>
      <c r="L14" s="9"/>
      <c r="M14" s="9"/>
      <c r="N14" s="9"/>
      <c r="O14" s="9"/>
      <c r="P14" s="9"/>
      <c r="Q14" s="9"/>
      <c r="R14" s="9"/>
      <c r="S14" s="9"/>
      <c r="T14" s="9"/>
      <c r="U14" s="9"/>
      <c r="V14" s="9"/>
      <c r="W14" s="9"/>
      <c r="X14" s="9"/>
      <c r="Y14" s="11"/>
      <c r="Z14" s="9"/>
      <c r="AA14" s="16"/>
      <c r="AB14" s="21"/>
      <c r="AC14" s="9"/>
      <c r="AD14" s="9"/>
      <c r="AE14" s="9"/>
      <c r="AF14" s="9"/>
    </row>
    <row r="15" spans="1:32" ht="13.5" customHeight="1">
      <c r="A15" s="4"/>
      <c r="B15" s="9"/>
      <c r="C15" s="9"/>
      <c r="D15" s="2"/>
      <c r="E15" s="2"/>
      <c r="F15" s="9"/>
      <c r="G15" s="9"/>
      <c r="H15" s="9"/>
      <c r="I15" s="2"/>
      <c r="J15" s="2"/>
      <c r="K15" s="2"/>
      <c r="L15" s="9"/>
      <c r="M15" s="10"/>
      <c r="N15" s="9"/>
      <c r="O15" s="9"/>
      <c r="P15" s="9"/>
      <c r="Q15" s="9"/>
      <c r="R15" s="9"/>
      <c r="S15" s="9"/>
      <c r="T15" s="9"/>
      <c r="U15" s="9"/>
      <c r="V15" s="9"/>
      <c r="W15" s="9"/>
      <c r="X15" s="9"/>
      <c r="Y15" s="11"/>
      <c r="Z15" s="9"/>
      <c r="AA15" s="19"/>
      <c r="AB15" s="20"/>
      <c r="AC15" s="9"/>
      <c r="AD15" s="9"/>
      <c r="AE15" s="9"/>
      <c r="AF15" s="9"/>
    </row>
    <row r="16" spans="1:32" ht="13.5" customHeight="1">
      <c r="A16" s="4"/>
      <c r="B16" s="9"/>
      <c r="C16" s="9"/>
      <c r="D16" s="13" t="str">
        <f t="shared" ref="D16" si="2">IF($AA16="","",IF($AA$3="","",DBCS($AA$3))&amp;IF($AC$3="","",DBCS("."&amp;$AC$3))&amp;IF($AE$3="","",DBCS("."&amp;$AE$3))&amp;IF($AA16="","",DBCS("."&amp;$AA16))&amp;DBCS(" ")&amp;$AB16)</f>
        <v/>
      </c>
      <c r="E16" s="15"/>
      <c r="F16" s="14"/>
      <c r="G16" s="14"/>
      <c r="H16" s="14"/>
      <c r="I16" s="15"/>
      <c r="J16" s="15"/>
      <c r="K16" s="15"/>
      <c r="L16" s="14"/>
      <c r="M16" s="14"/>
      <c r="N16" s="14"/>
      <c r="O16" s="14"/>
      <c r="P16" s="14"/>
      <c r="Q16" s="14"/>
      <c r="R16" s="14"/>
      <c r="S16" s="14"/>
      <c r="T16" s="14"/>
      <c r="U16" s="14"/>
      <c r="V16" s="14"/>
      <c r="W16" s="14"/>
      <c r="X16" s="14"/>
      <c r="Y16" s="11"/>
      <c r="Z16" s="9"/>
      <c r="AA16" s="16"/>
      <c r="AB16" s="21"/>
      <c r="AC16" s="9"/>
      <c r="AD16" s="9"/>
      <c r="AE16" s="9"/>
      <c r="AF16" s="9"/>
    </row>
    <row r="17" spans="1:32" ht="13.5" customHeight="1">
      <c r="A17" s="4"/>
      <c r="B17" s="9"/>
      <c r="C17" s="9"/>
      <c r="D17" s="2"/>
      <c r="E17" s="2"/>
      <c r="F17" s="9"/>
      <c r="G17" s="9"/>
      <c r="H17" s="9"/>
      <c r="I17" s="2"/>
      <c r="J17" s="2"/>
      <c r="K17" s="2"/>
      <c r="L17" s="9"/>
      <c r="M17" s="10"/>
      <c r="N17" s="9"/>
      <c r="O17" s="9"/>
      <c r="P17" s="9"/>
      <c r="Q17" s="9"/>
      <c r="R17" s="9"/>
      <c r="S17" s="9"/>
      <c r="T17" s="9"/>
      <c r="U17" s="9"/>
      <c r="V17" s="9"/>
      <c r="W17" s="9"/>
      <c r="X17" s="9"/>
      <c r="Y17" s="11"/>
      <c r="Z17" s="9"/>
      <c r="AA17" s="19"/>
      <c r="AB17" s="20"/>
      <c r="AC17" s="9"/>
      <c r="AD17" s="9"/>
      <c r="AE17" s="9"/>
      <c r="AF17" s="9"/>
    </row>
    <row r="18" spans="1:32" ht="13.5" customHeight="1">
      <c r="A18" s="4"/>
      <c r="B18" s="9"/>
      <c r="C18" s="9"/>
      <c r="D18" s="13" t="str">
        <f t="shared" ref="D18" si="3">IF($AA18="","",IF($AA$3="","",DBCS($AA$3))&amp;IF($AC$3="","",DBCS("."&amp;$AC$3))&amp;IF($AE$3="","",DBCS("."&amp;$AE$3))&amp;IF($AA18="","",DBCS("."&amp;$AA18))&amp;DBCS(" ")&amp;$AB18)</f>
        <v/>
      </c>
      <c r="E18" s="15"/>
      <c r="F18" s="14"/>
      <c r="G18" s="14"/>
      <c r="H18" s="14"/>
      <c r="I18" s="15"/>
      <c r="J18" s="15"/>
      <c r="K18" s="15"/>
      <c r="L18" s="14"/>
      <c r="M18" s="14"/>
      <c r="N18" s="14"/>
      <c r="O18" s="14"/>
      <c r="P18" s="14"/>
      <c r="Q18" s="14"/>
      <c r="R18" s="14"/>
      <c r="S18" s="14"/>
      <c r="T18" s="14"/>
      <c r="U18" s="14"/>
      <c r="V18" s="14"/>
      <c r="W18" s="14"/>
      <c r="X18" s="14"/>
      <c r="Y18" s="11"/>
      <c r="Z18" s="9"/>
      <c r="AA18" s="16"/>
      <c r="AB18" s="21"/>
      <c r="AC18" s="9"/>
      <c r="AD18" s="9"/>
      <c r="AE18" s="9"/>
      <c r="AF18" s="9"/>
    </row>
    <row r="19" spans="1:32" ht="13.5" customHeight="1">
      <c r="A19" s="4"/>
      <c r="B19" s="9"/>
      <c r="C19" s="9"/>
      <c r="D19" s="2"/>
      <c r="E19" s="2"/>
      <c r="F19" s="9"/>
      <c r="G19" s="9"/>
      <c r="H19" s="9"/>
      <c r="I19" s="2"/>
      <c r="J19" s="2"/>
      <c r="K19" s="2"/>
      <c r="L19" s="9"/>
      <c r="M19" s="10"/>
      <c r="N19" s="9"/>
      <c r="O19" s="9"/>
      <c r="P19" s="9"/>
      <c r="Q19" s="9"/>
      <c r="R19" s="9"/>
      <c r="S19" s="9"/>
      <c r="T19" s="9"/>
      <c r="U19" s="9"/>
      <c r="V19" s="9"/>
      <c r="W19" s="9"/>
      <c r="X19" s="9"/>
      <c r="Y19" s="11"/>
      <c r="Z19" s="9"/>
      <c r="AA19" s="19"/>
      <c r="AB19" s="20"/>
      <c r="AC19" s="9"/>
      <c r="AD19" s="9"/>
      <c r="AE19" s="9"/>
      <c r="AF19" s="9"/>
    </row>
    <row r="20" spans="1:32" ht="13.5" customHeight="1">
      <c r="A20" s="4"/>
      <c r="B20" s="9"/>
      <c r="C20" s="9"/>
      <c r="D20" s="13" t="str">
        <f t="shared" ref="D20" si="4">IF($AA20="","",IF($AA$3="","",DBCS($AA$3))&amp;IF($AC$3="","",DBCS("."&amp;$AC$3))&amp;IF($AE$3="","",DBCS("."&amp;$AE$3))&amp;IF($AA20="","",DBCS("."&amp;$AA20))&amp;DBCS(" ")&amp;$AB20)</f>
        <v/>
      </c>
      <c r="E20" s="15"/>
      <c r="F20" s="14"/>
      <c r="G20" s="14"/>
      <c r="H20" s="14"/>
      <c r="I20" s="15"/>
      <c r="J20" s="15"/>
      <c r="K20" s="15"/>
      <c r="L20" s="14"/>
      <c r="M20" s="14"/>
      <c r="N20" s="14"/>
      <c r="O20" s="14"/>
      <c r="P20" s="14"/>
      <c r="Q20" s="14"/>
      <c r="R20" s="14"/>
      <c r="S20" s="14"/>
      <c r="T20" s="14"/>
      <c r="U20" s="14"/>
      <c r="V20" s="14"/>
      <c r="W20" s="14"/>
      <c r="X20" s="14"/>
      <c r="Y20" s="11"/>
      <c r="Z20" s="9"/>
      <c r="AA20" s="16"/>
      <c r="AB20" s="21"/>
      <c r="AC20" s="9"/>
      <c r="AD20" s="9"/>
      <c r="AE20" s="9"/>
      <c r="AF20" s="9"/>
    </row>
    <row r="21" spans="1:32" ht="13.5" customHeight="1">
      <c r="A21" s="4"/>
      <c r="B21" s="9"/>
      <c r="C21" s="9"/>
      <c r="D21" s="2"/>
      <c r="E21" s="2"/>
      <c r="F21" s="9"/>
      <c r="G21" s="9"/>
      <c r="H21" s="9"/>
      <c r="I21" s="2"/>
      <c r="J21" s="2"/>
      <c r="K21" s="2"/>
      <c r="L21" s="9"/>
      <c r="M21" s="10"/>
      <c r="N21" s="9"/>
      <c r="O21" s="9"/>
      <c r="P21" s="9"/>
      <c r="Q21" s="9"/>
      <c r="R21" s="9"/>
      <c r="S21" s="9"/>
      <c r="T21" s="9"/>
      <c r="U21" s="9"/>
      <c r="V21" s="9"/>
      <c r="W21" s="9"/>
      <c r="X21" s="9"/>
      <c r="Y21" s="11"/>
      <c r="Z21" s="9"/>
      <c r="AA21" s="19"/>
      <c r="AB21" s="20"/>
      <c r="AC21" s="9"/>
      <c r="AD21" s="9"/>
      <c r="AE21" s="9"/>
      <c r="AF21" s="9"/>
    </row>
    <row r="22" spans="1:32" ht="13.5" customHeight="1">
      <c r="A22" s="4"/>
      <c r="B22" s="9"/>
      <c r="C22" s="9"/>
      <c r="D22" s="13" t="str">
        <f t="shared" ref="D22" si="5">IF($AA22="","",IF($AA$3="","",DBCS($AA$3))&amp;IF($AC$3="","",DBCS("."&amp;$AC$3))&amp;IF($AE$3="","",DBCS("."&amp;$AE$3))&amp;IF($AA22="","",DBCS("."&amp;$AA22))&amp;DBCS(" ")&amp;$AB22)</f>
        <v/>
      </c>
      <c r="E22" s="15"/>
      <c r="F22" s="14"/>
      <c r="G22" s="14"/>
      <c r="H22" s="14"/>
      <c r="I22" s="15"/>
      <c r="J22" s="15"/>
      <c r="K22" s="15"/>
      <c r="L22" s="14"/>
      <c r="M22" s="14"/>
      <c r="N22" s="14"/>
      <c r="O22" s="14"/>
      <c r="P22" s="14"/>
      <c r="Q22" s="14"/>
      <c r="R22" s="14"/>
      <c r="S22" s="14"/>
      <c r="T22" s="14"/>
      <c r="U22" s="14"/>
      <c r="V22" s="14"/>
      <c r="W22" s="14"/>
      <c r="X22" s="14"/>
      <c r="Y22" s="11"/>
      <c r="Z22" s="9"/>
      <c r="AA22" s="16"/>
      <c r="AB22" s="21"/>
      <c r="AC22" s="9"/>
      <c r="AD22" s="9"/>
      <c r="AE22" s="9"/>
      <c r="AF22" s="9"/>
    </row>
    <row r="23" spans="1:32" ht="13.5" customHeight="1">
      <c r="A23" s="4"/>
      <c r="B23" s="9"/>
      <c r="C23" s="9"/>
      <c r="D23" s="2"/>
      <c r="E23" s="2"/>
      <c r="F23" s="9"/>
      <c r="G23" s="9"/>
      <c r="H23" s="9"/>
      <c r="I23" s="2"/>
      <c r="J23" s="2"/>
      <c r="K23" s="2"/>
      <c r="L23" s="9"/>
      <c r="M23" s="10"/>
      <c r="N23" s="9"/>
      <c r="O23" s="9"/>
      <c r="P23" s="9"/>
      <c r="Q23" s="9"/>
      <c r="R23" s="9"/>
      <c r="S23" s="9"/>
      <c r="T23" s="9"/>
      <c r="U23" s="9"/>
      <c r="V23" s="9"/>
      <c r="W23" s="9"/>
      <c r="X23" s="9"/>
      <c r="Y23" s="11"/>
      <c r="Z23" s="9"/>
      <c r="AA23" s="19"/>
      <c r="AB23" s="20"/>
      <c r="AC23" s="9"/>
      <c r="AD23" s="9"/>
      <c r="AE23" s="9"/>
      <c r="AF23" s="9"/>
    </row>
    <row r="24" spans="1:32" ht="13.5" customHeight="1">
      <c r="A24" s="4"/>
      <c r="B24" s="9"/>
      <c r="C24" s="9"/>
      <c r="D24" s="13" t="str">
        <f t="shared" ref="D24" si="6">IF($AA24="","",IF($AA$3="","",DBCS($AA$3))&amp;IF($AC$3="","",DBCS("."&amp;$AC$3))&amp;IF($AE$3="","",DBCS("."&amp;$AE$3))&amp;IF($AA24="","",DBCS("."&amp;$AA24))&amp;DBCS(" ")&amp;$AB24)</f>
        <v/>
      </c>
      <c r="E24" s="15"/>
      <c r="F24" s="14"/>
      <c r="G24" s="14"/>
      <c r="H24" s="14"/>
      <c r="I24" s="15"/>
      <c r="J24" s="15"/>
      <c r="K24" s="15"/>
      <c r="L24" s="14"/>
      <c r="M24" s="14"/>
      <c r="N24" s="14"/>
      <c r="O24" s="14"/>
      <c r="P24" s="14"/>
      <c r="Q24" s="14"/>
      <c r="R24" s="14"/>
      <c r="S24" s="14"/>
      <c r="T24" s="14"/>
      <c r="U24" s="14"/>
      <c r="V24" s="14"/>
      <c r="W24" s="14"/>
      <c r="X24" s="14"/>
      <c r="Y24" s="11"/>
      <c r="Z24" s="9"/>
      <c r="AA24" s="16"/>
      <c r="AB24" s="21"/>
      <c r="AC24" s="9"/>
      <c r="AD24" s="9"/>
      <c r="AE24" s="9"/>
      <c r="AF24" s="9"/>
    </row>
    <row r="25" spans="1:32" ht="13.5" customHeight="1">
      <c r="A25" s="4"/>
      <c r="B25" s="9"/>
      <c r="C25" s="9"/>
      <c r="D25" s="2"/>
      <c r="E25" s="2"/>
      <c r="F25" s="9"/>
      <c r="G25" s="9"/>
      <c r="H25" s="9"/>
      <c r="I25" s="2"/>
      <c r="J25" s="2"/>
      <c r="K25" s="2"/>
      <c r="L25" s="9"/>
      <c r="M25" s="10"/>
      <c r="N25" s="9"/>
      <c r="O25" s="9"/>
      <c r="P25" s="9"/>
      <c r="Q25" s="9"/>
      <c r="R25" s="9"/>
      <c r="S25" s="9"/>
      <c r="T25" s="9"/>
      <c r="U25" s="9"/>
      <c r="V25" s="9"/>
      <c r="W25" s="9"/>
      <c r="X25" s="9"/>
      <c r="Y25" s="11"/>
      <c r="Z25" s="9"/>
      <c r="AA25" s="19"/>
      <c r="AB25" s="20"/>
      <c r="AC25" s="9"/>
      <c r="AD25" s="9"/>
      <c r="AE25" s="9"/>
      <c r="AF25" s="9"/>
    </row>
    <row r="26" spans="1:32" ht="13.5" customHeight="1">
      <c r="A26" s="4"/>
      <c r="B26" s="9"/>
      <c r="C26" s="9"/>
      <c r="D26" s="13" t="str">
        <f t="shared" ref="D26" si="7">IF($AA26="","",IF($AA$3="","",DBCS($AA$3))&amp;IF($AC$3="","",DBCS("."&amp;$AC$3))&amp;IF($AE$3="","",DBCS("."&amp;$AE$3))&amp;IF($AA26="","",DBCS("."&amp;$AA26))&amp;DBCS(" ")&amp;$AB26)</f>
        <v/>
      </c>
      <c r="E26" s="15"/>
      <c r="F26" s="14"/>
      <c r="G26" s="14"/>
      <c r="H26" s="14"/>
      <c r="I26" s="15"/>
      <c r="J26" s="15"/>
      <c r="K26" s="15"/>
      <c r="L26" s="14"/>
      <c r="M26" s="14"/>
      <c r="N26" s="14"/>
      <c r="O26" s="14"/>
      <c r="P26" s="14"/>
      <c r="Q26" s="14"/>
      <c r="R26" s="14"/>
      <c r="S26" s="14"/>
      <c r="T26" s="14"/>
      <c r="U26" s="14"/>
      <c r="V26" s="14"/>
      <c r="W26" s="14"/>
      <c r="X26" s="14"/>
      <c r="Y26" s="11"/>
      <c r="Z26" s="9"/>
      <c r="AA26" s="16"/>
      <c r="AB26" s="21"/>
      <c r="AC26" s="9"/>
      <c r="AD26" s="9"/>
      <c r="AE26" s="9"/>
      <c r="AF26" s="9"/>
    </row>
    <row r="27" spans="1:32" ht="13.5" customHeight="1">
      <c r="A27" s="4"/>
      <c r="B27" s="9"/>
      <c r="C27" s="9"/>
      <c r="D27" s="2"/>
      <c r="E27" s="2"/>
      <c r="F27" s="9"/>
      <c r="G27" s="9"/>
      <c r="H27" s="9"/>
      <c r="I27" s="2"/>
      <c r="J27" s="2"/>
      <c r="K27" s="2"/>
      <c r="L27" s="9"/>
      <c r="M27" s="10"/>
      <c r="N27" s="9"/>
      <c r="O27" s="9"/>
      <c r="P27" s="9"/>
      <c r="Q27" s="9"/>
      <c r="R27" s="9"/>
      <c r="S27" s="9"/>
      <c r="T27" s="9"/>
      <c r="U27" s="9"/>
      <c r="V27" s="9"/>
      <c r="W27" s="9"/>
      <c r="X27" s="9"/>
      <c r="Y27" s="11"/>
      <c r="Z27" s="9"/>
      <c r="AA27" s="19"/>
      <c r="AB27" s="20"/>
      <c r="AC27" s="9"/>
      <c r="AD27" s="9"/>
      <c r="AE27" s="9"/>
      <c r="AF27" s="9"/>
    </row>
    <row r="28" spans="1:32" ht="13.5" customHeight="1">
      <c r="A28" s="4"/>
      <c r="B28" s="9"/>
      <c r="C28" s="9"/>
      <c r="D28" s="13" t="str">
        <f t="shared" ref="D28" si="8">IF($AA28="","",IF($AA$3="","",DBCS($AA$3))&amp;IF($AC$3="","",DBCS("."&amp;$AC$3))&amp;IF($AE$3="","",DBCS("."&amp;$AE$3))&amp;IF($AA28="","",DBCS("."&amp;$AA28))&amp;DBCS(" ")&amp;$AB28)</f>
        <v/>
      </c>
      <c r="E28" s="15"/>
      <c r="F28" s="14"/>
      <c r="G28" s="14"/>
      <c r="H28" s="14"/>
      <c r="I28" s="15"/>
      <c r="J28" s="15"/>
      <c r="K28" s="15"/>
      <c r="L28" s="14"/>
      <c r="M28" s="14"/>
      <c r="N28" s="14"/>
      <c r="O28" s="14"/>
      <c r="P28" s="14"/>
      <c r="Q28" s="14"/>
      <c r="R28" s="14"/>
      <c r="S28" s="14"/>
      <c r="T28" s="14"/>
      <c r="U28" s="14"/>
      <c r="V28" s="14"/>
      <c r="W28" s="14"/>
      <c r="X28" s="14"/>
      <c r="Y28" s="11"/>
      <c r="Z28" s="9"/>
      <c r="AA28" s="16"/>
      <c r="AB28" s="21"/>
      <c r="AC28" s="9"/>
      <c r="AD28" s="9"/>
      <c r="AE28" s="9"/>
      <c r="AF28" s="9"/>
    </row>
    <row r="29" spans="1:32" ht="13.5" customHeight="1">
      <c r="A29" s="4"/>
      <c r="B29" s="9"/>
      <c r="C29" s="9"/>
      <c r="D29" s="2"/>
      <c r="E29" s="2"/>
      <c r="F29" s="9"/>
      <c r="G29" s="9"/>
      <c r="H29" s="9"/>
      <c r="I29" s="2"/>
      <c r="J29" s="2"/>
      <c r="K29" s="2"/>
      <c r="L29" s="9"/>
      <c r="M29" s="10"/>
      <c r="N29" s="9"/>
      <c r="O29" s="9"/>
      <c r="P29" s="9"/>
      <c r="Q29" s="9"/>
      <c r="R29" s="9"/>
      <c r="S29" s="9"/>
      <c r="T29" s="9"/>
      <c r="U29" s="9"/>
      <c r="V29" s="9"/>
      <c r="W29" s="9"/>
      <c r="X29" s="9"/>
      <c r="Y29" s="11"/>
      <c r="Z29" s="9"/>
      <c r="AA29" s="19"/>
      <c r="AB29" s="20"/>
      <c r="AC29" s="9"/>
      <c r="AD29" s="9"/>
      <c r="AE29" s="9"/>
      <c r="AF29" s="9"/>
    </row>
    <row r="30" spans="1:32" ht="13.5" customHeight="1">
      <c r="A30" s="4"/>
      <c r="B30" s="9"/>
      <c r="C30" s="9"/>
      <c r="D30" s="13" t="str">
        <f t="shared" ref="D30" si="9">IF($AA30="","",IF($AA$3="","",DBCS($AA$3))&amp;IF($AC$3="","",DBCS("."&amp;$AC$3))&amp;IF($AE$3="","",DBCS("."&amp;$AE$3))&amp;IF($AA30="","",DBCS("."&amp;$AA30))&amp;DBCS(" ")&amp;$AB30)</f>
        <v/>
      </c>
      <c r="E30" s="15"/>
      <c r="F30" s="14"/>
      <c r="G30" s="14"/>
      <c r="H30" s="14"/>
      <c r="I30" s="15"/>
      <c r="J30" s="15"/>
      <c r="K30" s="15"/>
      <c r="L30" s="14"/>
      <c r="M30" s="14"/>
      <c r="N30" s="14"/>
      <c r="O30" s="14"/>
      <c r="P30" s="14"/>
      <c r="Q30" s="14"/>
      <c r="R30" s="14"/>
      <c r="S30" s="14"/>
      <c r="T30" s="14"/>
      <c r="U30" s="14"/>
      <c r="V30" s="14"/>
      <c r="W30" s="14"/>
      <c r="X30" s="14"/>
      <c r="Y30" s="11"/>
      <c r="Z30" s="9"/>
      <c r="AA30" s="16"/>
      <c r="AB30" s="21"/>
      <c r="AC30" s="9"/>
      <c r="AD30" s="9"/>
      <c r="AE30" s="9"/>
      <c r="AF30" s="9"/>
    </row>
    <row r="31" spans="1:32" ht="13.5" customHeight="1">
      <c r="A31" s="4"/>
      <c r="B31" s="9"/>
      <c r="C31" s="9"/>
      <c r="D31" s="2"/>
      <c r="E31" s="2"/>
      <c r="F31" s="9"/>
      <c r="G31" s="9"/>
      <c r="H31" s="9"/>
      <c r="I31" s="2"/>
      <c r="J31" s="2"/>
      <c r="K31" s="2"/>
      <c r="L31" s="9"/>
      <c r="M31" s="10"/>
      <c r="N31" s="9"/>
      <c r="O31" s="9"/>
      <c r="P31" s="9"/>
      <c r="Q31" s="9"/>
      <c r="R31" s="9"/>
      <c r="S31" s="9"/>
      <c r="T31" s="9"/>
      <c r="U31" s="9"/>
      <c r="V31" s="9"/>
      <c r="W31" s="9"/>
      <c r="X31" s="9"/>
      <c r="Y31" s="11"/>
      <c r="Z31" s="9"/>
      <c r="AA31" s="19"/>
      <c r="AB31" s="20"/>
      <c r="AC31" s="9"/>
      <c r="AD31" s="9"/>
      <c r="AE31" s="9"/>
      <c r="AF31" s="9"/>
    </row>
    <row r="32" spans="1:32" ht="13.5" customHeight="1">
      <c r="A32" s="4"/>
      <c r="B32" s="9"/>
      <c r="C32" s="9"/>
      <c r="D32" s="13" t="str">
        <f t="shared" ref="D32" si="10">IF($AA32="","",IF($AA$3="","",DBCS($AA$3))&amp;IF($AC$3="","",DBCS("."&amp;$AC$3))&amp;IF($AE$3="","",DBCS("."&amp;$AE$3))&amp;IF($AA32="","",DBCS("."&amp;$AA32))&amp;DBCS(" ")&amp;$AB32)</f>
        <v/>
      </c>
      <c r="E32" s="15"/>
      <c r="F32" s="14"/>
      <c r="G32" s="14"/>
      <c r="H32" s="14"/>
      <c r="I32" s="15"/>
      <c r="J32" s="15"/>
      <c r="K32" s="15"/>
      <c r="L32" s="14"/>
      <c r="M32" s="14"/>
      <c r="N32" s="14"/>
      <c r="O32" s="14"/>
      <c r="P32" s="14"/>
      <c r="Q32" s="14"/>
      <c r="R32" s="14"/>
      <c r="S32" s="14"/>
      <c r="T32" s="14"/>
      <c r="U32" s="14"/>
      <c r="V32" s="14"/>
      <c r="W32" s="14"/>
      <c r="X32" s="14"/>
      <c r="Y32" s="11"/>
      <c r="Z32" s="9"/>
      <c r="AA32" s="16"/>
      <c r="AB32" s="21"/>
      <c r="AC32" s="9"/>
      <c r="AD32" s="9"/>
      <c r="AE32" s="9"/>
      <c r="AF32" s="9"/>
    </row>
    <row r="33" spans="1:32" ht="13.5" customHeight="1">
      <c r="A33" s="4"/>
      <c r="B33" s="9"/>
      <c r="C33" s="9"/>
      <c r="D33" s="2"/>
      <c r="E33" s="2"/>
      <c r="F33" s="9"/>
      <c r="G33" s="9"/>
      <c r="H33" s="9"/>
      <c r="I33" s="2"/>
      <c r="J33" s="2"/>
      <c r="K33" s="2"/>
      <c r="L33" s="9"/>
      <c r="M33" s="10"/>
      <c r="N33" s="9"/>
      <c r="O33" s="9"/>
      <c r="P33" s="9"/>
      <c r="Q33" s="9"/>
      <c r="R33" s="9"/>
      <c r="S33" s="9"/>
      <c r="T33" s="9"/>
      <c r="U33" s="9"/>
      <c r="V33" s="9"/>
      <c r="W33" s="9"/>
      <c r="X33" s="9"/>
      <c r="Y33" s="11"/>
      <c r="Z33" s="9"/>
      <c r="AA33" s="19"/>
      <c r="AB33" s="20"/>
      <c r="AC33" s="9"/>
      <c r="AD33" s="9"/>
      <c r="AE33" s="9"/>
      <c r="AF33" s="9"/>
    </row>
    <row r="34" spans="1:32" ht="13.5" customHeight="1">
      <c r="A34" s="4"/>
      <c r="B34" s="9"/>
      <c r="C34" s="9"/>
      <c r="D34" s="13" t="str">
        <f t="shared" ref="D34" si="11">IF($AA34="","",IF($AA$3="","",DBCS($AA$3))&amp;IF($AC$3="","",DBCS("."&amp;$AC$3))&amp;IF($AE$3="","",DBCS("."&amp;$AE$3))&amp;IF($AA34="","",DBCS("."&amp;$AA34))&amp;DBCS(" ")&amp;$AB34)</f>
        <v/>
      </c>
      <c r="E34" s="15"/>
      <c r="F34" s="14"/>
      <c r="G34" s="14"/>
      <c r="H34" s="14"/>
      <c r="I34" s="15"/>
      <c r="J34" s="15"/>
      <c r="K34" s="15"/>
      <c r="L34" s="14"/>
      <c r="M34" s="14"/>
      <c r="N34" s="14"/>
      <c r="O34" s="14"/>
      <c r="P34" s="14"/>
      <c r="Q34" s="14"/>
      <c r="R34" s="14"/>
      <c r="S34" s="14"/>
      <c r="T34" s="14"/>
      <c r="U34" s="14"/>
      <c r="V34" s="14"/>
      <c r="W34" s="14"/>
      <c r="X34" s="14"/>
      <c r="Y34" s="11"/>
      <c r="Z34" s="9"/>
      <c r="AA34" s="16"/>
      <c r="AB34" s="21"/>
      <c r="AC34" s="9"/>
      <c r="AD34" s="9"/>
      <c r="AE34" s="9"/>
      <c r="AF34" s="9"/>
    </row>
    <row r="35" spans="1:32" ht="13.5" customHeight="1">
      <c r="A35" s="4"/>
      <c r="B35" s="9"/>
      <c r="C35" s="9"/>
      <c r="D35" s="2"/>
      <c r="E35" s="2"/>
      <c r="F35" s="9"/>
      <c r="G35" s="9"/>
      <c r="H35" s="9"/>
      <c r="I35" s="2"/>
      <c r="J35" s="2"/>
      <c r="K35" s="2"/>
      <c r="L35" s="9"/>
      <c r="M35" s="10"/>
      <c r="N35" s="9"/>
      <c r="O35" s="9"/>
      <c r="P35" s="9"/>
      <c r="Q35" s="9"/>
      <c r="R35" s="9"/>
      <c r="S35" s="9"/>
      <c r="T35" s="9"/>
      <c r="U35" s="9"/>
      <c r="V35" s="9"/>
      <c r="W35" s="9"/>
      <c r="X35" s="9"/>
      <c r="Y35" s="11"/>
      <c r="Z35" s="9"/>
      <c r="AA35" s="19"/>
      <c r="AB35" s="20"/>
      <c r="AC35" s="9"/>
      <c r="AD35" s="9"/>
      <c r="AE35" s="9"/>
      <c r="AF35" s="9"/>
    </row>
    <row r="36" spans="1:32" ht="13.5" customHeight="1">
      <c r="A36" s="4"/>
      <c r="B36" s="2"/>
      <c r="C36" s="2"/>
      <c r="D36" s="12"/>
      <c r="E36" s="2"/>
      <c r="F36" s="2"/>
      <c r="G36" s="2"/>
      <c r="H36" s="2"/>
      <c r="I36" s="2"/>
      <c r="J36" s="2"/>
      <c r="K36" s="2"/>
      <c r="L36" s="2"/>
      <c r="M36" s="2"/>
      <c r="N36" s="2"/>
      <c r="O36" s="2"/>
      <c r="P36" s="2"/>
      <c r="Q36" s="2"/>
      <c r="R36" s="2"/>
      <c r="S36" s="2"/>
      <c r="T36" s="2"/>
      <c r="U36" s="2"/>
      <c r="V36" s="2"/>
      <c r="W36" s="2"/>
      <c r="X36" s="2"/>
      <c r="Y36" s="5"/>
    </row>
    <row r="37" spans="1:32" ht="13.5" customHeight="1">
      <c r="A37" s="4"/>
      <c r="B37" s="2"/>
      <c r="C37" s="2"/>
      <c r="D37" s="12"/>
      <c r="E37" s="2"/>
      <c r="F37" s="2"/>
      <c r="G37" s="2"/>
      <c r="H37" s="2"/>
      <c r="I37" s="2"/>
      <c r="J37" s="2"/>
      <c r="K37" s="2"/>
      <c r="L37" s="2"/>
      <c r="M37" s="2"/>
      <c r="N37" s="2"/>
      <c r="O37" s="2"/>
      <c r="P37" s="2"/>
      <c r="Q37" s="2"/>
      <c r="R37" s="2"/>
      <c r="S37" s="2"/>
      <c r="T37" s="2"/>
      <c r="U37" s="2"/>
      <c r="V37" s="2"/>
      <c r="W37" s="2"/>
      <c r="X37" s="2"/>
      <c r="Y37" s="5"/>
    </row>
    <row r="38" spans="1:32" ht="13.5" customHeight="1">
      <c r="A38" s="4"/>
      <c r="B38" s="2"/>
      <c r="C38" s="2"/>
      <c r="D38" s="12"/>
      <c r="E38" s="2"/>
      <c r="F38" s="2"/>
      <c r="G38" s="2"/>
      <c r="H38" s="2"/>
      <c r="I38" s="2"/>
      <c r="J38" s="2"/>
      <c r="K38" s="2"/>
      <c r="L38" s="2"/>
      <c r="M38" s="2"/>
      <c r="N38" s="2"/>
      <c r="O38" s="2"/>
      <c r="P38" s="2"/>
      <c r="Q38" s="2"/>
      <c r="R38" s="2"/>
      <c r="S38" s="2"/>
      <c r="T38" s="2"/>
      <c r="U38" s="2"/>
      <c r="V38" s="2"/>
      <c r="W38" s="2"/>
      <c r="X38" s="2"/>
      <c r="Y38" s="5"/>
    </row>
    <row r="39" spans="1:32" ht="13.5" customHeight="1">
      <c r="A39" s="4"/>
      <c r="B39" s="2"/>
      <c r="C39" s="2"/>
      <c r="D39" s="12"/>
      <c r="E39" s="2"/>
      <c r="F39" s="2"/>
      <c r="G39" s="2"/>
      <c r="H39" s="2"/>
      <c r="I39" s="2"/>
      <c r="J39" s="2"/>
      <c r="K39" s="2"/>
      <c r="L39" s="2"/>
      <c r="M39" s="2"/>
      <c r="N39" s="2"/>
      <c r="O39" s="2"/>
      <c r="P39" s="2"/>
      <c r="Q39" s="2"/>
      <c r="R39" s="2"/>
      <c r="S39" s="2"/>
      <c r="T39" s="2"/>
      <c r="U39" s="2"/>
      <c r="V39" s="2"/>
      <c r="W39" s="2"/>
      <c r="X39" s="2"/>
      <c r="Y39" s="5"/>
    </row>
    <row r="40" spans="1:32" ht="13.5" customHeight="1">
      <c r="A40" s="4"/>
      <c r="B40" s="2"/>
      <c r="C40" s="2"/>
      <c r="D40" s="12"/>
      <c r="E40" s="2"/>
      <c r="F40" s="2"/>
      <c r="G40" s="2"/>
      <c r="H40" s="2"/>
      <c r="I40" s="2"/>
      <c r="J40" s="2"/>
      <c r="K40" s="2"/>
      <c r="L40" s="2"/>
      <c r="M40" s="2"/>
      <c r="N40" s="2"/>
      <c r="O40" s="2"/>
      <c r="P40" s="2"/>
      <c r="Q40" s="2"/>
      <c r="R40" s="2"/>
      <c r="S40" s="2"/>
      <c r="T40" s="2"/>
      <c r="U40" s="2"/>
      <c r="V40" s="2"/>
      <c r="W40" s="2"/>
      <c r="X40" s="2"/>
      <c r="Y40" s="5"/>
    </row>
    <row r="41" spans="1:32" ht="13.5" customHeight="1">
      <c r="A41" s="4"/>
      <c r="B41" s="2"/>
      <c r="C41" s="2"/>
      <c r="D41" s="12"/>
      <c r="E41" s="2"/>
      <c r="F41" s="2"/>
      <c r="G41" s="2"/>
      <c r="H41" s="2"/>
      <c r="I41" s="2"/>
      <c r="J41" s="2"/>
      <c r="K41" s="2"/>
      <c r="L41" s="2"/>
      <c r="M41" s="2"/>
      <c r="N41" s="2"/>
      <c r="O41" s="2"/>
      <c r="P41" s="2"/>
      <c r="Q41" s="2"/>
      <c r="R41" s="2"/>
      <c r="S41" s="2"/>
      <c r="T41" s="2"/>
      <c r="U41" s="2"/>
      <c r="V41" s="2"/>
      <c r="W41" s="2"/>
      <c r="X41" s="2"/>
      <c r="Y41" s="5"/>
    </row>
    <row r="42" spans="1:32" ht="13.5" customHeight="1">
      <c r="A42" s="4"/>
      <c r="B42" s="2"/>
      <c r="C42" s="2"/>
      <c r="D42" s="12"/>
      <c r="E42" s="2"/>
      <c r="F42" s="2"/>
      <c r="G42" s="2"/>
      <c r="H42" s="2"/>
      <c r="I42" s="2"/>
      <c r="J42" s="2"/>
      <c r="K42" s="2"/>
      <c r="L42" s="2"/>
      <c r="M42" s="2"/>
      <c r="N42" s="2"/>
      <c r="O42" s="2"/>
      <c r="P42" s="2"/>
      <c r="Q42" s="2"/>
      <c r="R42" s="2"/>
      <c r="S42" s="2"/>
      <c r="T42" s="2"/>
      <c r="U42" s="2"/>
      <c r="V42" s="2"/>
      <c r="W42" s="2"/>
      <c r="X42" s="2"/>
      <c r="Y42" s="5"/>
    </row>
    <row r="43" spans="1:32" ht="13.5" customHeight="1">
      <c r="A43" s="4"/>
      <c r="B43" s="2"/>
      <c r="C43" s="2"/>
      <c r="D43" s="12"/>
      <c r="E43" s="2"/>
      <c r="F43" s="2"/>
      <c r="G43" s="2"/>
      <c r="H43" s="2"/>
      <c r="I43" s="2"/>
      <c r="J43" s="2"/>
      <c r="K43" s="2"/>
      <c r="L43" s="2"/>
      <c r="M43" s="2"/>
      <c r="N43" s="2"/>
      <c r="O43" s="2"/>
      <c r="P43" s="2"/>
      <c r="Q43" s="2"/>
      <c r="R43" s="2"/>
      <c r="S43" s="2"/>
      <c r="T43" s="2"/>
      <c r="U43" s="2"/>
      <c r="V43" s="2"/>
      <c r="W43" s="2"/>
      <c r="X43" s="2"/>
      <c r="Y43" s="5"/>
    </row>
    <row r="44" spans="1:32" ht="13.5" customHeight="1">
      <c r="A44" s="4"/>
      <c r="B44" s="2"/>
      <c r="C44" s="2"/>
      <c r="D44" s="12"/>
      <c r="E44" s="2"/>
      <c r="F44" s="2"/>
      <c r="G44" s="2"/>
      <c r="H44" s="2"/>
      <c r="I44" s="2"/>
      <c r="J44" s="2"/>
      <c r="K44" s="2"/>
      <c r="L44" s="2"/>
      <c r="M44" s="2"/>
      <c r="N44" s="2"/>
      <c r="O44" s="2"/>
      <c r="P44" s="2"/>
      <c r="Q44" s="2"/>
      <c r="R44" s="2"/>
      <c r="S44" s="2"/>
      <c r="T44" s="2"/>
      <c r="U44" s="2"/>
      <c r="V44" s="2"/>
      <c r="W44" s="2"/>
      <c r="X44" s="2"/>
      <c r="Y44" s="5"/>
    </row>
    <row r="45" spans="1:32" ht="13.5" customHeight="1">
      <c r="A45" s="4"/>
      <c r="B45" s="2"/>
      <c r="C45" s="2"/>
      <c r="D45" s="12"/>
      <c r="E45" s="2"/>
      <c r="F45" s="2"/>
      <c r="G45" s="2"/>
      <c r="H45" s="2"/>
      <c r="I45" s="2"/>
      <c r="J45" s="2"/>
      <c r="K45" s="2"/>
      <c r="L45" s="2"/>
      <c r="M45" s="2"/>
      <c r="N45" s="2"/>
      <c r="O45" s="2"/>
      <c r="P45" s="2"/>
      <c r="Q45" s="2"/>
      <c r="R45" s="2"/>
      <c r="S45" s="2"/>
      <c r="T45" s="2"/>
      <c r="U45" s="2"/>
      <c r="V45" s="2"/>
      <c r="W45" s="2"/>
      <c r="X45" s="2"/>
      <c r="Y45" s="5"/>
    </row>
    <row r="46" spans="1:32" ht="13.5" customHeight="1">
      <c r="A46" s="4"/>
      <c r="B46" s="2"/>
      <c r="C46" s="2"/>
      <c r="D46" s="12"/>
      <c r="E46" s="2"/>
      <c r="F46" s="2"/>
      <c r="G46" s="2"/>
      <c r="H46" s="2"/>
      <c r="I46" s="2"/>
      <c r="J46" s="2"/>
      <c r="K46" s="2"/>
      <c r="L46" s="2"/>
      <c r="M46" s="2"/>
      <c r="N46" s="2"/>
      <c r="O46" s="2"/>
      <c r="P46" s="2"/>
      <c r="Q46" s="2"/>
      <c r="R46" s="2"/>
      <c r="S46" s="2"/>
      <c r="T46" s="2"/>
      <c r="U46" s="2"/>
      <c r="V46" s="2"/>
      <c r="W46" s="2"/>
      <c r="X46" s="2"/>
      <c r="Y46" s="5"/>
    </row>
    <row r="47" spans="1:32" ht="13.5" customHeight="1">
      <c r="A47" s="4"/>
      <c r="B47" s="2"/>
      <c r="C47" s="2"/>
      <c r="D47" s="12"/>
      <c r="E47" s="2"/>
      <c r="F47" s="2"/>
      <c r="G47" s="2"/>
      <c r="H47" s="2"/>
      <c r="I47" s="2"/>
      <c r="J47" s="2"/>
      <c r="K47" s="2"/>
      <c r="L47" s="2"/>
      <c r="M47" s="2"/>
      <c r="N47" s="2"/>
      <c r="O47" s="2"/>
      <c r="P47" s="2"/>
      <c r="Q47" s="2"/>
      <c r="R47" s="2"/>
      <c r="S47" s="2"/>
      <c r="T47" s="2"/>
      <c r="U47" s="2"/>
      <c r="V47" s="2"/>
      <c r="W47" s="2"/>
      <c r="X47" s="2"/>
      <c r="Y47" s="5"/>
    </row>
    <row r="48" spans="1:32" ht="13.5" customHeight="1">
      <c r="A48" s="4"/>
      <c r="B48" s="2"/>
      <c r="C48" s="2"/>
      <c r="D48" s="12"/>
      <c r="E48" s="2"/>
      <c r="F48" s="2"/>
      <c r="G48" s="2"/>
      <c r="H48" s="2"/>
      <c r="I48" s="2"/>
      <c r="J48" s="2"/>
      <c r="K48" s="2"/>
      <c r="L48" s="2"/>
      <c r="M48" s="2"/>
      <c r="N48" s="2"/>
      <c r="O48" s="2"/>
      <c r="P48" s="2"/>
      <c r="Q48" s="2"/>
      <c r="R48" s="2"/>
      <c r="S48" s="2"/>
      <c r="T48" s="2"/>
      <c r="U48" s="2"/>
      <c r="V48" s="2"/>
      <c r="W48" s="2"/>
      <c r="X48" s="2"/>
      <c r="Y48" s="5"/>
    </row>
    <row r="49" spans="1:32" ht="13.5" customHeight="1">
      <c r="A49" s="4"/>
      <c r="B49" s="2"/>
      <c r="C49" s="2"/>
      <c r="D49" s="12"/>
      <c r="E49" s="2"/>
      <c r="F49" s="2"/>
      <c r="G49" s="2"/>
      <c r="H49" s="2"/>
      <c r="I49" s="2"/>
      <c r="J49" s="2"/>
      <c r="K49" s="2"/>
      <c r="L49" s="2"/>
      <c r="M49" s="2"/>
      <c r="N49" s="2"/>
      <c r="O49" s="2"/>
      <c r="P49" s="2"/>
      <c r="Q49" s="2"/>
      <c r="R49" s="2"/>
      <c r="S49" s="2"/>
      <c r="T49" s="2"/>
      <c r="U49" s="2"/>
      <c r="V49" s="2"/>
      <c r="W49" s="2"/>
      <c r="X49" s="2"/>
      <c r="Y49" s="5"/>
    </row>
    <row r="50" spans="1:32" ht="13.5" customHeight="1">
      <c r="A50" s="4"/>
      <c r="B50" s="2"/>
      <c r="C50" s="2"/>
      <c r="D50" s="12"/>
      <c r="E50" s="2"/>
      <c r="F50" s="2"/>
      <c r="G50" s="2"/>
      <c r="H50" s="2"/>
      <c r="I50" s="2"/>
      <c r="J50" s="2"/>
      <c r="K50" s="2"/>
      <c r="L50" s="2"/>
      <c r="M50" s="2"/>
      <c r="N50" s="2"/>
      <c r="O50" s="2"/>
      <c r="P50" s="2"/>
      <c r="Q50" s="2"/>
      <c r="R50" s="2"/>
      <c r="S50" s="2"/>
      <c r="T50" s="2"/>
      <c r="U50" s="2"/>
      <c r="V50" s="2"/>
      <c r="W50" s="2"/>
      <c r="X50" s="2"/>
      <c r="Y50" s="5"/>
    </row>
    <row r="51" spans="1:32" ht="13.5" customHeight="1">
      <c r="A51" s="4"/>
      <c r="B51" s="2"/>
      <c r="C51" s="2"/>
      <c r="D51" s="12"/>
      <c r="E51" s="2"/>
      <c r="F51" s="2"/>
      <c r="G51" s="2"/>
      <c r="H51" s="2"/>
      <c r="I51" s="2"/>
      <c r="J51" s="2"/>
      <c r="K51" s="2"/>
      <c r="L51" s="2"/>
      <c r="M51" s="2"/>
      <c r="N51" s="2"/>
      <c r="O51" s="2"/>
      <c r="P51" s="2"/>
      <c r="Q51" s="2"/>
      <c r="R51" s="2"/>
      <c r="S51" s="2"/>
      <c r="T51" s="2"/>
      <c r="U51" s="2"/>
      <c r="V51" s="2"/>
      <c r="W51" s="2"/>
      <c r="X51" s="2"/>
      <c r="Y51" s="5"/>
    </row>
    <row r="52" spans="1:32" ht="13.5" customHeight="1">
      <c r="A52" s="4"/>
      <c r="B52" s="2"/>
      <c r="C52" s="2"/>
      <c r="D52" s="12"/>
      <c r="E52" s="2"/>
      <c r="F52" s="2"/>
      <c r="G52" s="2"/>
      <c r="H52" s="2"/>
      <c r="I52" s="2"/>
      <c r="J52" s="2"/>
      <c r="K52" s="2"/>
      <c r="L52" s="2"/>
      <c r="M52" s="2"/>
      <c r="N52" s="2"/>
      <c r="O52" s="2"/>
      <c r="P52" s="2"/>
      <c r="Q52" s="2"/>
      <c r="R52" s="2"/>
      <c r="S52" s="2"/>
      <c r="T52" s="2"/>
      <c r="U52" s="2"/>
      <c r="V52" s="2"/>
      <c r="W52" s="2"/>
      <c r="X52" s="2"/>
      <c r="Y52" s="5"/>
    </row>
    <row r="53" spans="1:32" ht="13.5" customHeight="1">
      <c r="A53" s="4"/>
      <c r="B53" s="2"/>
      <c r="C53" s="2"/>
      <c r="D53" s="12"/>
      <c r="E53" s="2"/>
      <c r="F53" s="2"/>
      <c r="G53" s="2"/>
      <c r="H53" s="2"/>
      <c r="I53" s="2"/>
      <c r="J53" s="2"/>
      <c r="K53" s="2"/>
      <c r="L53" s="2"/>
      <c r="M53" s="2"/>
      <c r="N53" s="2"/>
      <c r="O53" s="2"/>
      <c r="P53" s="2"/>
      <c r="Q53" s="2"/>
      <c r="R53" s="2"/>
      <c r="S53" s="2"/>
      <c r="T53" s="2"/>
      <c r="U53" s="2"/>
      <c r="V53" s="2"/>
      <c r="W53" s="2"/>
      <c r="X53" s="2"/>
      <c r="Y53" s="5"/>
    </row>
    <row r="54" spans="1:32" ht="13.5" customHeight="1">
      <c r="A54" s="4"/>
      <c r="B54" s="2"/>
      <c r="C54" s="2"/>
      <c r="D54" s="12"/>
      <c r="E54" s="2"/>
      <c r="F54" s="2"/>
      <c r="G54" s="2"/>
      <c r="H54" s="2"/>
      <c r="I54" s="2"/>
      <c r="J54" s="2"/>
      <c r="K54" s="2"/>
      <c r="L54" s="2"/>
      <c r="M54" s="2"/>
      <c r="N54" s="2"/>
      <c r="O54" s="2"/>
      <c r="P54" s="2"/>
      <c r="Q54" s="2"/>
      <c r="R54" s="2"/>
      <c r="S54" s="2"/>
      <c r="T54" s="2"/>
      <c r="U54" s="2"/>
      <c r="V54" s="2"/>
      <c r="W54" s="2"/>
      <c r="X54" s="2"/>
      <c r="Y54" s="5"/>
    </row>
    <row r="55" spans="1:32" ht="13.5" customHeight="1">
      <c r="A55" s="4"/>
      <c r="B55" s="9"/>
      <c r="C55" s="9"/>
      <c r="D55" s="9"/>
      <c r="E55" s="9"/>
      <c r="F55" s="9"/>
      <c r="G55" s="9"/>
      <c r="H55" s="9"/>
      <c r="I55" s="9"/>
      <c r="J55" s="9"/>
      <c r="K55" s="9"/>
      <c r="L55" s="9"/>
      <c r="M55" s="9"/>
      <c r="N55" s="9"/>
      <c r="O55" s="9"/>
      <c r="P55" s="9"/>
      <c r="Q55" s="9"/>
      <c r="R55" s="9"/>
      <c r="S55" s="9"/>
      <c r="T55" s="9"/>
      <c r="U55" s="9"/>
      <c r="V55" s="9"/>
      <c r="W55" s="9"/>
      <c r="X55" s="9"/>
      <c r="Y55" s="11"/>
      <c r="Z55" s="9"/>
      <c r="AA55" s="9"/>
      <c r="AB55" s="9"/>
      <c r="AC55" s="9"/>
      <c r="AD55" s="9"/>
      <c r="AE55" s="9"/>
      <c r="AF55" s="9"/>
    </row>
    <row r="56" spans="1:32" ht="13.5" customHeight="1">
      <c r="A56" s="6"/>
      <c r="B56" s="7"/>
      <c r="C56" s="7"/>
      <c r="D56" s="7"/>
      <c r="E56" s="7"/>
      <c r="F56" s="7"/>
      <c r="G56" s="7"/>
      <c r="H56" s="7"/>
      <c r="I56" s="7"/>
      <c r="J56" s="7"/>
      <c r="K56" s="7"/>
      <c r="L56" s="7"/>
      <c r="M56" s="7"/>
      <c r="N56" s="7"/>
      <c r="O56" s="7"/>
      <c r="P56" s="7"/>
      <c r="Q56" s="7"/>
      <c r="R56" s="7"/>
      <c r="S56" s="7"/>
      <c r="T56" s="7"/>
      <c r="U56" s="7"/>
      <c r="V56" s="7"/>
      <c r="W56" s="7"/>
      <c r="X56" s="7"/>
      <c r="Y56" s="8"/>
    </row>
    <row r="57" spans="1:32" ht="13.5" customHeight="1">
      <c r="A57" s="3"/>
      <c r="B57" s="3"/>
      <c r="C57" s="3"/>
      <c r="D57" s="3"/>
      <c r="E57" s="3"/>
      <c r="F57" s="3"/>
      <c r="G57" s="3"/>
      <c r="H57" s="3"/>
      <c r="I57" s="3"/>
      <c r="J57" s="3"/>
      <c r="K57" s="3"/>
      <c r="L57" s="3"/>
      <c r="M57" s="3"/>
      <c r="N57" s="3"/>
      <c r="O57" s="3"/>
      <c r="P57" s="3"/>
      <c r="Q57" s="3"/>
      <c r="R57" s="3"/>
      <c r="S57" s="3"/>
      <c r="T57" s="3"/>
      <c r="U57" s="3"/>
      <c r="V57" s="3"/>
      <c r="W57" s="3"/>
      <c r="X57" s="3"/>
      <c r="Y57" s="3"/>
    </row>
  </sheetData>
  <customSheetViews>
    <customSheetView guid="{BDBA9E3C-757D-4583-A236-21E32FC5642C}" showPageBreaks="1" printArea="1" view="pageBreakPreview">
      <pageMargins left="0.78740157480314965" right="0.78740157480314965" top="0.78740157480314965" bottom="0.78740157480314965" header="0.51181102362204722" footer="0.51181102362204722"/>
      <printOptions horizontalCentered="1"/>
      <pageSetup paperSize="9" orientation="portrait" useFirstPageNumber="1" r:id="rId1"/>
      <headerFooter alignWithMargins="0">
        <oddFooter>&amp;CⅡ.3.1-&amp;P</oddFooter>
      </headerFooter>
    </customSheetView>
    <customSheetView guid="{306D1AAA-0140-4D40-9745-D8F442D56CF2}" showPageBreaks="1" printArea="1" view="pageBreakPreview">
      <pageMargins left="0.78740157480314965" right="0.78740157480314965" top="0.78740157480314965" bottom="0.78740157480314965" header="0.51181102362204722" footer="0.51181102362204722"/>
      <printOptions horizontalCentered="1"/>
      <pageSetup paperSize="9" orientation="portrait" useFirstPageNumber="1" r:id="rId2"/>
      <headerFooter alignWithMargins="0">
        <oddFooter>&amp;CⅡ.3.1-&amp;P</oddFooter>
      </headerFooter>
    </customSheetView>
    <customSheetView guid="{0BEAC79D-708F-45FD-A222-055D201B52D5}" showPageBreaks="1" printArea="1" view="pageBreakPreview" showRuler="0">
      <pageMargins left="0.78740157480314965" right="0.78740157480314965" top="0.78740157480314965" bottom="0.78740157480314965" header="0.51181102362204722" footer="0.51181102362204722"/>
      <printOptions horizontalCentered="1"/>
      <pageSetup paperSize="9" orientation="portrait" useFirstPageNumber="1" r:id="rId3"/>
      <headerFooter alignWithMargins="0">
        <oddFooter>&amp;CⅡ.3.1-&amp;P</oddFooter>
      </headerFooter>
    </customSheetView>
  </customSheetViews>
  <mergeCells count="8">
    <mergeCell ref="AC1:AD1"/>
    <mergeCell ref="AE1:AF1"/>
    <mergeCell ref="AA6:AB6"/>
    <mergeCell ref="AA1:AB1"/>
    <mergeCell ref="D1:Y1"/>
    <mergeCell ref="D2:Y2"/>
    <mergeCell ref="A3:Y3"/>
    <mergeCell ref="A4:Y5"/>
  </mergeCells>
  <phoneticPr fontId="2"/>
  <printOptions horizontalCentered="1"/>
  <pageMargins left="0.78740157480314965" right="0.78740157480314965" top="0.78740157480314965" bottom="0.78740157480314965" header="0.51181102362204722" footer="0.51181102362204722"/>
  <pageSetup paperSize="9" orientation="portrait" useFirstPageNumber="1" r:id="rId4"/>
  <headerFooter scaleWithDoc="0" alignWithMargins="0">
    <oddFooter>&amp;C5.2.2-&amp;P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L149"/>
  <sheetViews>
    <sheetView tabSelected="1" view="pageBreakPreview" zoomScaleNormal="85" zoomScaleSheetLayoutView="100" workbookViewId="0">
      <pane ySplit="4" topLeftCell="A54" activePane="bottomLeft" state="frozen"/>
      <selection activeCell="Q16" sqref="Q16"/>
      <selection pane="bottomLeft" activeCell="AK80" sqref="AK80"/>
    </sheetView>
  </sheetViews>
  <sheetFormatPr baseColWidth="10" defaultColWidth="3.59765625" defaultRowHeight="13.5" customHeight="1"/>
  <cols>
    <col min="1" max="16384" width="3.59765625" style="22"/>
  </cols>
  <sheetData>
    <row r="1" spans="1:38" s="1" customFormat="1" ht="13.5" customHeight="1">
      <c r="A1" s="28" t="s">
        <v>5</v>
      </c>
      <c r="B1" s="29"/>
      <c r="C1" s="30"/>
      <c r="D1" s="30"/>
      <c r="E1" s="30"/>
      <c r="F1" s="30"/>
      <c r="G1" s="30"/>
      <c r="H1" s="30"/>
      <c r="I1" s="28" t="s">
        <v>17</v>
      </c>
      <c r="J1" s="30"/>
      <c r="K1" s="30"/>
      <c r="L1" s="30"/>
      <c r="M1" s="30"/>
      <c r="N1" s="30"/>
      <c r="O1" s="30"/>
      <c r="P1" s="146" t="s">
        <v>18</v>
      </c>
      <c r="Q1" s="147"/>
      <c r="R1" s="147"/>
      <c r="S1" s="147"/>
      <c r="T1" s="147"/>
      <c r="U1" s="147"/>
      <c r="V1" s="147"/>
      <c r="W1" s="147"/>
      <c r="X1" s="147"/>
      <c r="Y1" s="147"/>
      <c r="Z1" s="147" t="s">
        <v>19</v>
      </c>
      <c r="AA1" s="147"/>
      <c r="AB1" s="147"/>
      <c r="AC1" s="147" t="s">
        <v>20</v>
      </c>
      <c r="AD1" s="147"/>
      <c r="AE1" s="147"/>
      <c r="AF1" s="147"/>
      <c r="AG1" s="147"/>
      <c r="AH1" s="147"/>
      <c r="AI1" s="147"/>
      <c r="AJ1" s="147"/>
      <c r="AK1" s="147"/>
      <c r="AL1" s="148"/>
    </row>
    <row r="2" spans="1:38" s="1" customFormat="1" ht="13.5" customHeight="1">
      <c r="A2" s="149" t="str">
        <f>目次!D1</f>
        <v>備蓄品管理システム</v>
      </c>
      <c r="B2" s="248"/>
      <c r="C2" s="248"/>
      <c r="D2" s="248"/>
      <c r="E2" s="248"/>
      <c r="F2" s="248"/>
      <c r="G2" s="248"/>
      <c r="H2" s="249"/>
      <c r="I2" s="149" t="str">
        <f>目次!D2</f>
        <v>第5章　ファイル設計</v>
      </c>
      <c r="J2" s="150"/>
      <c r="K2" s="150"/>
      <c r="L2" s="150"/>
      <c r="M2" s="150"/>
      <c r="N2" s="150"/>
      <c r="O2" s="151"/>
      <c r="P2" s="242" t="str">
        <f>目次!A4</f>
        <v>5.2.2 ビルデータ登録</v>
      </c>
      <c r="Q2" s="243"/>
      <c r="R2" s="243"/>
      <c r="S2" s="243"/>
      <c r="T2" s="243"/>
      <c r="U2" s="243"/>
      <c r="V2" s="243"/>
      <c r="W2" s="243"/>
      <c r="X2" s="243"/>
      <c r="Y2" s="243"/>
      <c r="Z2" s="243" t="s">
        <v>3</v>
      </c>
      <c r="AA2" s="243"/>
      <c r="AB2" s="243"/>
      <c r="AC2" s="243">
        <v>42398</v>
      </c>
      <c r="AD2" s="243"/>
      <c r="AE2" s="243"/>
      <c r="AF2" s="243" t="s">
        <v>2</v>
      </c>
      <c r="AG2" s="243"/>
      <c r="AH2" s="243"/>
      <c r="AI2" s="243" t="s">
        <v>6</v>
      </c>
      <c r="AJ2" s="243"/>
      <c r="AK2" s="243"/>
      <c r="AL2" s="244"/>
    </row>
    <row r="3" spans="1:38" s="1" customFormat="1" ht="13.5" customHeight="1">
      <c r="A3" s="250"/>
      <c r="B3" s="251"/>
      <c r="C3" s="251"/>
      <c r="D3" s="251"/>
      <c r="E3" s="251"/>
      <c r="F3" s="251"/>
      <c r="G3" s="251"/>
      <c r="H3" s="252"/>
      <c r="I3" s="152"/>
      <c r="J3" s="153"/>
      <c r="K3" s="153"/>
      <c r="L3" s="153"/>
      <c r="M3" s="153"/>
      <c r="N3" s="153"/>
      <c r="O3" s="154"/>
      <c r="P3" s="245"/>
      <c r="Q3" s="246"/>
      <c r="R3" s="246"/>
      <c r="S3" s="246"/>
      <c r="T3" s="246"/>
      <c r="U3" s="246"/>
      <c r="V3" s="246"/>
      <c r="W3" s="246"/>
      <c r="X3" s="246"/>
      <c r="Y3" s="246"/>
      <c r="Z3" s="246" t="s">
        <v>8</v>
      </c>
      <c r="AA3" s="246"/>
      <c r="AB3" s="246"/>
      <c r="AC3" s="246"/>
      <c r="AD3" s="246"/>
      <c r="AE3" s="246"/>
      <c r="AF3" s="246" t="s">
        <v>4</v>
      </c>
      <c r="AG3" s="246"/>
      <c r="AH3" s="246"/>
      <c r="AI3" s="246"/>
      <c r="AJ3" s="246"/>
      <c r="AK3" s="246"/>
      <c r="AL3" s="247"/>
    </row>
    <row r="4" spans="1:38" s="1" customFormat="1" ht="13.5" customHeight="1">
      <c r="A4" s="24" t="s">
        <v>25</v>
      </c>
      <c r="B4" s="31"/>
      <c r="C4" s="25"/>
      <c r="D4" s="25"/>
      <c r="E4" s="33" t="str">
        <f>目次!D8</f>
        <v>5.2.2.1 ビルデータCSV</v>
      </c>
      <c r="F4" s="34"/>
      <c r="G4" s="34"/>
      <c r="H4" s="34"/>
      <c r="I4" s="34"/>
      <c r="J4" s="34"/>
      <c r="K4" s="34"/>
      <c r="L4" s="34"/>
      <c r="M4" s="34"/>
      <c r="N4" s="34"/>
      <c r="O4" s="34"/>
      <c r="P4" s="24" t="s">
        <v>26</v>
      </c>
      <c r="Q4" s="31"/>
      <c r="R4" s="25"/>
      <c r="S4" s="25"/>
      <c r="T4" s="224" t="s">
        <v>27</v>
      </c>
      <c r="U4" s="225"/>
      <c r="V4" s="225"/>
      <c r="W4" s="225"/>
      <c r="X4" s="226"/>
      <c r="Y4" s="35"/>
      <c r="Z4" s="36"/>
      <c r="AA4" s="36"/>
      <c r="AB4" s="36"/>
      <c r="AC4" s="37"/>
      <c r="AD4" s="37"/>
      <c r="AE4" s="37"/>
      <c r="AF4" s="36"/>
      <c r="AG4" s="36"/>
      <c r="AH4" s="36"/>
      <c r="AI4" s="36"/>
      <c r="AJ4" s="37"/>
      <c r="AK4" s="37"/>
      <c r="AL4" s="38"/>
    </row>
    <row r="5" spans="1:38" s="40" customFormat="1" ht="13.5" customHeight="1">
      <c r="A5" s="65"/>
      <c r="B5" s="3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66"/>
    </row>
    <row r="6" spans="1:38" s="40" customFormat="1" ht="13.5" customHeight="1">
      <c r="A6" s="67"/>
      <c r="B6" s="41" t="s">
        <v>124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68"/>
    </row>
    <row r="7" spans="1:38" s="40" customFormat="1" ht="13.5" customHeight="1">
      <c r="A7" s="67"/>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68"/>
    </row>
    <row r="8" spans="1:38" s="40" customFormat="1" ht="13.5" customHeight="1">
      <c r="A8" s="67"/>
      <c r="B8" s="42" t="s">
        <v>29</v>
      </c>
      <c r="C8" s="43" t="s">
        <v>7</v>
      </c>
      <c r="D8" s="44"/>
      <c r="E8" s="45"/>
      <c r="F8" s="45"/>
      <c r="G8" s="46"/>
      <c r="H8" s="44" t="s">
        <v>21</v>
      </c>
      <c r="I8" s="45"/>
      <c r="J8" s="45"/>
      <c r="K8" s="45"/>
      <c r="L8" s="45"/>
      <c r="M8" s="45"/>
      <c r="N8" s="45"/>
      <c r="O8" s="45"/>
      <c r="P8" s="46"/>
      <c r="Q8" s="44" t="s">
        <v>30</v>
      </c>
      <c r="R8" s="45"/>
      <c r="S8" s="45"/>
      <c r="T8" s="45"/>
      <c r="U8" s="45"/>
      <c r="V8" s="46"/>
      <c r="W8" s="46"/>
      <c r="X8" s="44" t="s">
        <v>31</v>
      </c>
      <c r="Y8" s="46"/>
      <c r="Z8" s="44" t="s">
        <v>22</v>
      </c>
      <c r="AA8" s="46"/>
      <c r="AB8" s="44"/>
      <c r="AC8" s="44" t="s">
        <v>32</v>
      </c>
      <c r="AD8" s="47"/>
      <c r="AE8" s="47" t="s">
        <v>35</v>
      </c>
      <c r="AF8" s="45"/>
      <c r="AG8" s="45"/>
      <c r="AH8" s="45"/>
      <c r="AI8" s="45"/>
      <c r="AJ8" s="45"/>
      <c r="AK8" s="46"/>
      <c r="AL8" s="68"/>
    </row>
    <row r="9" spans="1:38" s="51" customFormat="1" ht="13.5" customHeight="1">
      <c r="A9" s="50"/>
      <c r="B9" s="54"/>
      <c r="C9" s="55" t="s">
        <v>87</v>
      </c>
      <c r="D9" s="56"/>
      <c r="E9" s="56"/>
      <c r="F9" s="56"/>
      <c r="G9" s="56"/>
      <c r="H9" s="57"/>
      <c r="I9" s="57"/>
      <c r="J9" s="57"/>
      <c r="K9" s="57"/>
      <c r="L9" s="57"/>
      <c r="M9" s="57"/>
      <c r="N9" s="57"/>
      <c r="O9" s="57"/>
      <c r="P9" s="57"/>
      <c r="Q9" s="109" t="s">
        <v>100</v>
      </c>
      <c r="R9" s="58"/>
      <c r="S9" s="58"/>
      <c r="T9" s="58"/>
      <c r="U9" s="58"/>
      <c r="V9" s="58"/>
      <c r="W9" s="58"/>
      <c r="X9" s="59"/>
      <c r="Y9" s="59"/>
      <c r="Z9" s="59"/>
      <c r="AA9" s="59"/>
      <c r="AB9" s="59"/>
      <c r="AC9" s="59"/>
      <c r="AD9" s="59"/>
      <c r="AE9" s="57"/>
      <c r="AF9" s="60"/>
      <c r="AG9" s="60"/>
      <c r="AH9" s="60"/>
      <c r="AI9" s="60"/>
      <c r="AJ9" s="60"/>
      <c r="AK9" s="61"/>
      <c r="AL9" s="52"/>
    </row>
    <row r="10" spans="1:38" s="48" customFormat="1" ht="13.5" customHeight="1">
      <c r="A10" s="72"/>
      <c r="B10" s="63">
        <v>1</v>
      </c>
      <c r="C10" s="227" t="s">
        <v>128</v>
      </c>
      <c r="D10" s="228"/>
      <c r="E10" s="228"/>
      <c r="F10" s="228"/>
      <c r="G10" s="229"/>
      <c r="H10" s="195" t="s">
        <v>101</v>
      </c>
      <c r="I10" s="196"/>
      <c r="J10" s="196"/>
      <c r="K10" s="196"/>
      <c r="L10" s="196"/>
      <c r="M10" s="196"/>
      <c r="N10" s="196"/>
      <c r="O10" s="196"/>
      <c r="P10" s="197"/>
      <c r="Q10" s="201" t="s">
        <v>129</v>
      </c>
      <c r="R10" s="202"/>
      <c r="S10" s="202"/>
      <c r="T10" s="202"/>
      <c r="U10" s="202"/>
      <c r="V10" s="202"/>
      <c r="W10" s="203"/>
      <c r="X10" s="240" t="s">
        <v>102</v>
      </c>
      <c r="Y10" s="208"/>
      <c r="Z10" s="211" t="s">
        <v>28</v>
      </c>
      <c r="AA10" s="212"/>
      <c r="AB10" s="213"/>
      <c r="AC10" s="211" t="s">
        <v>28</v>
      </c>
      <c r="AD10" s="213"/>
      <c r="AE10" s="217"/>
      <c r="AF10" s="218"/>
      <c r="AG10" s="218"/>
      <c r="AH10" s="218"/>
      <c r="AI10" s="218"/>
      <c r="AJ10" s="218"/>
      <c r="AK10" s="219"/>
      <c r="AL10" s="73"/>
    </row>
    <row r="11" spans="1:38" s="48" customFormat="1" ht="13.5" customHeight="1">
      <c r="A11" s="72"/>
      <c r="B11" s="64"/>
      <c r="C11" s="230"/>
      <c r="D11" s="231"/>
      <c r="E11" s="231"/>
      <c r="F11" s="231"/>
      <c r="G11" s="232"/>
      <c r="H11" s="198"/>
      <c r="I11" s="199"/>
      <c r="J11" s="199"/>
      <c r="K11" s="199"/>
      <c r="L11" s="199"/>
      <c r="M11" s="199"/>
      <c r="N11" s="199"/>
      <c r="O11" s="199"/>
      <c r="P11" s="200"/>
      <c r="Q11" s="204"/>
      <c r="R11" s="205"/>
      <c r="S11" s="205"/>
      <c r="T11" s="205"/>
      <c r="U11" s="205"/>
      <c r="V11" s="205"/>
      <c r="W11" s="206"/>
      <c r="X11" s="209"/>
      <c r="Y11" s="210"/>
      <c r="Z11" s="214"/>
      <c r="AA11" s="215"/>
      <c r="AB11" s="216"/>
      <c r="AC11" s="214"/>
      <c r="AD11" s="216"/>
      <c r="AE11" s="220"/>
      <c r="AF11" s="221"/>
      <c r="AG11" s="221"/>
      <c r="AH11" s="221"/>
      <c r="AI11" s="221"/>
      <c r="AJ11" s="221"/>
      <c r="AK11" s="222"/>
      <c r="AL11" s="73"/>
    </row>
    <row r="12" spans="1:38" s="48" customFormat="1" ht="13.5" customHeight="1">
      <c r="A12" s="72"/>
      <c r="B12" s="63">
        <f>B10+1</f>
        <v>2</v>
      </c>
      <c r="C12" s="227" t="s">
        <v>130</v>
      </c>
      <c r="D12" s="228"/>
      <c r="E12" s="228"/>
      <c r="F12" s="228"/>
      <c r="G12" s="229"/>
      <c r="H12" s="195" t="s">
        <v>131</v>
      </c>
      <c r="I12" s="196"/>
      <c r="J12" s="196"/>
      <c r="K12" s="196"/>
      <c r="L12" s="196"/>
      <c r="M12" s="196"/>
      <c r="N12" s="196"/>
      <c r="O12" s="196"/>
      <c r="P12" s="197"/>
      <c r="Q12" s="241" t="s">
        <v>132</v>
      </c>
      <c r="R12" s="202"/>
      <c r="S12" s="202"/>
      <c r="T12" s="202"/>
      <c r="U12" s="202"/>
      <c r="V12" s="202"/>
      <c r="W12" s="203"/>
      <c r="X12" s="240" t="s">
        <v>102</v>
      </c>
      <c r="Y12" s="208"/>
      <c r="Z12" s="211" t="s">
        <v>71</v>
      </c>
      <c r="AA12" s="212"/>
      <c r="AB12" s="213"/>
      <c r="AC12" s="211">
        <v>20</v>
      </c>
      <c r="AD12" s="213"/>
      <c r="AE12" s="217"/>
      <c r="AF12" s="218"/>
      <c r="AG12" s="218"/>
      <c r="AH12" s="218"/>
      <c r="AI12" s="218"/>
      <c r="AJ12" s="218"/>
      <c r="AK12" s="219"/>
      <c r="AL12" s="73"/>
    </row>
    <row r="13" spans="1:38" s="48" customFormat="1" ht="13.5" customHeight="1">
      <c r="A13" s="72"/>
      <c r="B13" s="64"/>
      <c r="C13" s="230"/>
      <c r="D13" s="231"/>
      <c r="E13" s="231"/>
      <c r="F13" s="231"/>
      <c r="G13" s="232"/>
      <c r="H13" s="198"/>
      <c r="I13" s="199"/>
      <c r="J13" s="199"/>
      <c r="K13" s="199"/>
      <c r="L13" s="199"/>
      <c r="M13" s="199"/>
      <c r="N13" s="199"/>
      <c r="O13" s="199"/>
      <c r="P13" s="200"/>
      <c r="Q13" s="204"/>
      <c r="R13" s="205"/>
      <c r="S13" s="205"/>
      <c r="T13" s="205"/>
      <c r="U13" s="205"/>
      <c r="V13" s="205"/>
      <c r="W13" s="206"/>
      <c r="X13" s="209"/>
      <c r="Y13" s="210"/>
      <c r="Z13" s="214"/>
      <c r="AA13" s="215"/>
      <c r="AB13" s="216"/>
      <c r="AC13" s="214"/>
      <c r="AD13" s="216"/>
      <c r="AE13" s="220"/>
      <c r="AF13" s="221"/>
      <c r="AG13" s="221"/>
      <c r="AH13" s="221"/>
      <c r="AI13" s="221"/>
      <c r="AJ13" s="221"/>
      <c r="AK13" s="222"/>
      <c r="AL13" s="73"/>
    </row>
    <row r="14" spans="1:38" s="48" customFormat="1" ht="13.5" customHeight="1">
      <c r="A14" s="72"/>
      <c r="B14" s="63">
        <f t="shared" ref="B14" si="0">B12+1</f>
        <v>3</v>
      </c>
      <c r="C14" s="227" t="s">
        <v>104</v>
      </c>
      <c r="D14" s="228"/>
      <c r="E14" s="228"/>
      <c r="F14" s="228"/>
      <c r="G14" s="229"/>
      <c r="H14" s="195" t="s">
        <v>90</v>
      </c>
      <c r="I14" s="196"/>
      <c r="J14" s="196"/>
      <c r="K14" s="196"/>
      <c r="L14" s="196"/>
      <c r="M14" s="196"/>
      <c r="N14" s="196"/>
      <c r="O14" s="196"/>
      <c r="P14" s="197"/>
      <c r="Q14" s="201" t="s">
        <v>103</v>
      </c>
      <c r="R14" s="202"/>
      <c r="S14" s="202"/>
      <c r="T14" s="202"/>
      <c r="U14" s="202"/>
      <c r="V14" s="202"/>
      <c r="W14" s="203"/>
      <c r="X14" s="240" t="s">
        <v>102</v>
      </c>
      <c r="Y14" s="208"/>
      <c r="Z14" s="211" t="s">
        <v>28</v>
      </c>
      <c r="AA14" s="212"/>
      <c r="AB14" s="213"/>
      <c r="AC14" s="211" t="s">
        <v>28</v>
      </c>
      <c r="AD14" s="213"/>
      <c r="AE14" s="217"/>
      <c r="AF14" s="218"/>
      <c r="AG14" s="218"/>
      <c r="AH14" s="218"/>
      <c r="AI14" s="218"/>
      <c r="AJ14" s="218"/>
      <c r="AK14" s="219"/>
      <c r="AL14" s="73"/>
    </row>
    <row r="15" spans="1:38" s="48" customFormat="1" ht="13.5" customHeight="1">
      <c r="A15" s="72"/>
      <c r="B15" s="64"/>
      <c r="C15" s="230"/>
      <c r="D15" s="231"/>
      <c r="E15" s="231"/>
      <c r="F15" s="231"/>
      <c r="G15" s="232"/>
      <c r="H15" s="198"/>
      <c r="I15" s="199"/>
      <c r="J15" s="199"/>
      <c r="K15" s="199"/>
      <c r="L15" s="199"/>
      <c r="M15" s="199"/>
      <c r="N15" s="199"/>
      <c r="O15" s="199"/>
      <c r="P15" s="200"/>
      <c r="Q15" s="204"/>
      <c r="R15" s="205"/>
      <c r="S15" s="205"/>
      <c r="T15" s="205"/>
      <c r="U15" s="205"/>
      <c r="V15" s="205"/>
      <c r="W15" s="206"/>
      <c r="X15" s="209"/>
      <c r="Y15" s="210"/>
      <c r="Z15" s="214"/>
      <c r="AA15" s="215"/>
      <c r="AB15" s="216"/>
      <c r="AC15" s="214"/>
      <c r="AD15" s="216"/>
      <c r="AE15" s="220"/>
      <c r="AF15" s="221"/>
      <c r="AG15" s="221"/>
      <c r="AH15" s="221"/>
      <c r="AI15" s="221"/>
      <c r="AJ15" s="221"/>
      <c r="AK15" s="222"/>
      <c r="AL15" s="73"/>
    </row>
    <row r="16" spans="1:38" s="48" customFormat="1" ht="13.5" customHeight="1">
      <c r="A16" s="72"/>
      <c r="B16" s="63">
        <f t="shared" ref="B16" si="1">B14+1</f>
        <v>4</v>
      </c>
      <c r="C16" s="227" t="s">
        <v>105</v>
      </c>
      <c r="D16" s="228"/>
      <c r="E16" s="228"/>
      <c r="F16" s="228"/>
      <c r="G16" s="229"/>
      <c r="H16" s="195" t="s">
        <v>127</v>
      </c>
      <c r="I16" s="196"/>
      <c r="J16" s="196"/>
      <c r="K16" s="196"/>
      <c r="L16" s="196"/>
      <c r="M16" s="196"/>
      <c r="N16" s="196"/>
      <c r="O16" s="196"/>
      <c r="P16" s="197"/>
      <c r="Q16" s="233" t="s">
        <v>133</v>
      </c>
      <c r="R16" s="234"/>
      <c r="S16" s="234"/>
      <c r="T16" s="234"/>
      <c r="U16" s="234"/>
      <c r="V16" s="234"/>
      <c r="W16" s="235"/>
      <c r="X16" s="207" t="s">
        <v>37</v>
      </c>
      <c r="Y16" s="208"/>
      <c r="Z16" s="239" t="s">
        <v>49</v>
      </c>
      <c r="AA16" s="212"/>
      <c r="AB16" s="213"/>
      <c r="AC16" s="239">
        <v>16</v>
      </c>
      <c r="AD16" s="213"/>
      <c r="AE16" s="217"/>
      <c r="AF16" s="218"/>
      <c r="AG16" s="218"/>
      <c r="AH16" s="218"/>
      <c r="AI16" s="218"/>
      <c r="AJ16" s="218"/>
      <c r="AK16" s="219"/>
      <c r="AL16" s="73"/>
    </row>
    <row r="17" spans="1:38" s="48" customFormat="1" ht="13.5" customHeight="1">
      <c r="A17" s="72"/>
      <c r="B17" s="64"/>
      <c r="C17" s="230"/>
      <c r="D17" s="231"/>
      <c r="E17" s="231"/>
      <c r="F17" s="231"/>
      <c r="G17" s="232"/>
      <c r="H17" s="198"/>
      <c r="I17" s="199"/>
      <c r="J17" s="199"/>
      <c r="K17" s="199"/>
      <c r="L17" s="199"/>
      <c r="M17" s="199"/>
      <c r="N17" s="199"/>
      <c r="O17" s="199"/>
      <c r="P17" s="200"/>
      <c r="Q17" s="236"/>
      <c r="R17" s="237"/>
      <c r="S17" s="237"/>
      <c r="T17" s="237"/>
      <c r="U17" s="237"/>
      <c r="V17" s="237"/>
      <c r="W17" s="238"/>
      <c r="X17" s="209"/>
      <c r="Y17" s="210"/>
      <c r="Z17" s="214"/>
      <c r="AA17" s="215"/>
      <c r="AB17" s="216"/>
      <c r="AC17" s="214"/>
      <c r="AD17" s="216"/>
      <c r="AE17" s="220"/>
      <c r="AF17" s="221"/>
      <c r="AG17" s="221"/>
      <c r="AH17" s="221"/>
      <c r="AI17" s="221"/>
      <c r="AJ17" s="221"/>
      <c r="AK17" s="222"/>
      <c r="AL17" s="73"/>
    </row>
    <row r="18" spans="1:38" s="51" customFormat="1" ht="13.5" customHeight="1">
      <c r="A18" s="50"/>
      <c r="B18" s="54"/>
      <c r="C18" s="55" t="s">
        <v>88</v>
      </c>
      <c r="D18" s="56"/>
      <c r="E18" s="56"/>
      <c r="F18" s="56"/>
      <c r="G18" s="56"/>
      <c r="H18" s="57"/>
      <c r="I18" s="57"/>
      <c r="J18" s="57"/>
      <c r="K18" s="57"/>
      <c r="L18" s="57"/>
      <c r="M18" s="57"/>
      <c r="N18" s="57"/>
      <c r="O18" s="57"/>
      <c r="P18" s="57"/>
      <c r="Q18" s="109" t="s">
        <v>89</v>
      </c>
      <c r="R18" s="58"/>
      <c r="S18" s="58"/>
      <c r="T18" s="58"/>
      <c r="U18" s="58"/>
      <c r="V18" s="58"/>
      <c r="W18" s="58"/>
      <c r="X18" s="59"/>
      <c r="Y18" s="59"/>
      <c r="Z18" s="59"/>
      <c r="AA18" s="59"/>
      <c r="AB18" s="59"/>
      <c r="AC18" s="59"/>
      <c r="AD18" s="59"/>
      <c r="AE18" s="57"/>
      <c r="AF18" s="60"/>
      <c r="AG18" s="60"/>
      <c r="AH18" s="60"/>
      <c r="AI18" s="60"/>
      <c r="AJ18" s="60"/>
      <c r="AK18" s="61"/>
      <c r="AL18" s="52"/>
    </row>
    <row r="19" spans="1:38" s="48" customFormat="1" ht="13.5" customHeight="1">
      <c r="A19" s="72"/>
      <c r="B19" s="139">
        <v>1</v>
      </c>
      <c r="C19" s="189" t="str">
        <f>"項目"&amp;DBCS(B19)&amp;"名称"</f>
        <v>項目1名称</v>
      </c>
      <c r="D19" s="190"/>
      <c r="E19" s="190"/>
      <c r="F19" s="190"/>
      <c r="G19" s="191"/>
      <c r="H19" s="195" t="s">
        <v>90</v>
      </c>
      <c r="I19" s="196"/>
      <c r="J19" s="196"/>
      <c r="K19" s="196"/>
      <c r="L19" s="196"/>
      <c r="M19" s="196"/>
      <c r="N19" s="196"/>
      <c r="O19" s="196"/>
      <c r="P19" s="197"/>
      <c r="Q19" s="167" t="s">
        <v>166</v>
      </c>
      <c r="R19" s="168"/>
      <c r="S19" s="168"/>
      <c r="T19" s="168"/>
      <c r="U19" s="168"/>
      <c r="V19" s="168"/>
      <c r="W19" s="169"/>
      <c r="X19" s="223" t="s">
        <v>40</v>
      </c>
      <c r="Y19" s="208"/>
      <c r="Z19" s="211" t="s">
        <v>28</v>
      </c>
      <c r="AA19" s="212"/>
      <c r="AB19" s="213"/>
      <c r="AC19" s="211" t="s">
        <v>28</v>
      </c>
      <c r="AD19" s="213"/>
      <c r="AE19" s="217"/>
      <c r="AF19" s="218"/>
      <c r="AG19" s="218"/>
      <c r="AH19" s="218"/>
      <c r="AI19" s="218"/>
      <c r="AJ19" s="218"/>
      <c r="AK19" s="219"/>
      <c r="AL19" s="73"/>
    </row>
    <row r="20" spans="1:38" s="48" customFormat="1" ht="13.5" customHeight="1">
      <c r="A20" s="72"/>
      <c r="B20" s="140"/>
      <c r="C20" s="192"/>
      <c r="D20" s="193"/>
      <c r="E20" s="193"/>
      <c r="F20" s="193"/>
      <c r="G20" s="194"/>
      <c r="H20" s="198"/>
      <c r="I20" s="199"/>
      <c r="J20" s="199"/>
      <c r="K20" s="199"/>
      <c r="L20" s="199"/>
      <c r="M20" s="199"/>
      <c r="N20" s="199"/>
      <c r="O20" s="199"/>
      <c r="P20" s="200"/>
      <c r="Q20" s="170"/>
      <c r="R20" s="171"/>
      <c r="S20" s="171"/>
      <c r="T20" s="171"/>
      <c r="U20" s="171"/>
      <c r="V20" s="171"/>
      <c r="W20" s="172"/>
      <c r="X20" s="209"/>
      <c r="Y20" s="210"/>
      <c r="Z20" s="214"/>
      <c r="AA20" s="215"/>
      <c r="AB20" s="216"/>
      <c r="AC20" s="214"/>
      <c r="AD20" s="216"/>
      <c r="AE20" s="220"/>
      <c r="AF20" s="221"/>
      <c r="AG20" s="221"/>
      <c r="AH20" s="221"/>
      <c r="AI20" s="221"/>
      <c r="AJ20" s="221"/>
      <c r="AK20" s="222"/>
      <c r="AL20" s="73"/>
    </row>
    <row r="21" spans="1:38" s="48" customFormat="1" ht="13.5" customHeight="1">
      <c r="A21" s="72"/>
      <c r="B21" s="63">
        <v>2</v>
      </c>
      <c r="C21" s="189" t="str">
        <f>"項目"&amp;DBCS(B21)&amp;"名称"</f>
        <v>項目2名称</v>
      </c>
      <c r="D21" s="190"/>
      <c r="E21" s="190"/>
      <c r="F21" s="190"/>
      <c r="G21" s="191"/>
      <c r="H21" s="195" t="s">
        <v>90</v>
      </c>
      <c r="I21" s="196"/>
      <c r="J21" s="196"/>
      <c r="K21" s="196"/>
      <c r="L21" s="196"/>
      <c r="M21" s="196"/>
      <c r="N21" s="196"/>
      <c r="O21" s="196"/>
      <c r="P21" s="197"/>
      <c r="Q21" s="167" t="s">
        <v>167</v>
      </c>
      <c r="R21" s="168"/>
      <c r="S21" s="168"/>
      <c r="T21" s="168"/>
      <c r="U21" s="168"/>
      <c r="V21" s="168"/>
      <c r="W21" s="169"/>
      <c r="X21" s="223" t="s">
        <v>40</v>
      </c>
      <c r="Y21" s="208"/>
      <c r="Z21" s="211" t="s">
        <v>28</v>
      </c>
      <c r="AA21" s="212"/>
      <c r="AB21" s="213"/>
      <c r="AC21" s="211" t="s">
        <v>28</v>
      </c>
      <c r="AD21" s="213"/>
      <c r="AE21" s="217"/>
      <c r="AF21" s="218"/>
      <c r="AG21" s="218"/>
      <c r="AH21" s="218"/>
      <c r="AI21" s="218"/>
      <c r="AJ21" s="218"/>
      <c r="AK21" s="219"/>
      <c r="AL21" s="73"/>
    </row>
    <row r="22" spans="1:38" s="48" customFormat="1" ht="13.5" customHeight="1">
      <c r="A22" s="72"/>
      <c r="B22" s="64"/>
      <c r="C22" s="192"/>
      <c r="D22" s="193"/>
      <c r="E22" s="193"/>
      <c r="F22" s="193"/>
      <c r="G22" s="194"/>
      <c r="H22" s="198"/>
      <c r="I22" s="199"/>
      <c r="J22" s="199"/>
      <c r="K22" s="199"/>
      <c r="L22" s="199"/>
      <c r="M22" s="199"/>
      <c r="N22" s="199"/>
      <c r="O22" s="199"/>
      <c r="P22" s="200"/>
      <c r="Q22" s="170"/>
      <c r="R22" s="171"/>
      <c r="S22" s="171"/>
      <c r="T22" s="171"/>
      <c r="U22" s="171"/>
      <c r="V22" s="171"/>
      <c r="W22" s="172"/>
      <c r="X22" s="209"/>
      <c r="Y22" s="210"/>
      <c r="Z22" s="214"/>
      <c r="AA22" s="215"/>
      <c r="AB22" s="216"/>
      <c r="AC22" s="214"/>
      <c r="AD22" s="216"/>
      <c r="AE22" s="220"/>
      <c r="AF22" s="221"/>
      <c r="AG22" s="221"/>
      <c r="AH22" s="221"/>
      <c r="AI22" s="221"/>
      <c r="AJ22" s="221"/>
      <c r="AK22" s="222"/>
      <c r="AL22" s="73"/>
    </row>
    <row r="23" spans="1:38" s="48" customFormat="1" ht="13.5" customHeight="1">
      <c r="A23" s="72"/>
      <c r="B23" s="63">
        <f>B21+1</f>
        <v>3</v>
      </c>
      <c r="C23" s="189" t="str">
        <f>"項目"&amp;DBCS(B23)&amp;"名称"</f>
        <v>項目3名称</v>
      </c>
      <c r="D23" s="190"/>
      <c r="E23" s="190"/>
      <c r="F23" s="190"/>
      <c r="G23" s="191"/>
      <c r="H23" s="195" t="s">
        <v>90</v>
      </c>
      <c r="I23" s="196"/>
      <c r="J23" s="196"/>
      <c r="K23" s="196"/>
      <c r="L23" s="196"/>
      <c r="M23" s="196"/>
      <c r="N23" s="196"/>
      <c r="O23" s="196"/>
      <c r="P23" s="197"/>
      <c r="Q23" s="167" t="s">
        <v>170</v>
      </c>
      <c r="R23" s="168"/>
      <c r="S23" s="168"/>
      <c r="T23" s="168"/>
      <c r="U23" s="168"/>
      <c r="V23" s="168"/>
      <c r="W23" s="169"/>
      <c r="X23" s="223" t="s">
        <v>40</v>
      </c>
      <c r="Y23" s="208"/>
      <c r="Z23" s="211" t="s">
        <v>45</v>
      </c>
      <c r="AA23" s="212"/>
      <c r="AB23" s="213"/>
      <c r="AC23" s="211" t="s">
        <v>45</v>
      </c>
      <c r="AD23" s="213"/>
      <c r="AE23" s="217"/>
      <c r="AF23" s="218"/>
      <c r="AG23" s="218"/>
      <c r="AH23" s="218"/>
      <c r="AI23" s="218"/>
      <c r="AJ23" s="218"/>
      <c r="AK23" s="219"/>
      <c r="AL23" s="73"/>
    </row>
    <row r="24" spans="1:38" s="48" customFormat="1" ht="13.5" customHeight="1">
      <c r="A24" s="72"/>
      <c r="B24" s="64"/>
      <c r="C24" s="192"/>
      <c r="D24" s="193"/>
      <c r="E24" s="193"/>
      <c r="F24" s="193"/>
      <c r="G24" s="194"/>
      <c r="H24" s="198"/>
      <c r="I24" s="199"/>
      <c r="J24" s="199"/>
      <c r="K24" s="199"/>
      <c r="L24" s="199"/>
      <c r="M24" s="199"/>
      <c r="N24" s="199"/>
      <c r="O24" s="199"/>
      <c r="P24" s="200"/>
      <c r="Q24" s="170"/>
      <c r="R24" s="171"/>
      <c r="S24" s="171"/>
      <c r="T24" s="171"/>
      <c r="U24" s="171"/>
      <c r="V24" s="171"/>
      <c r="W24" s="172"/>
      <c r="X24" s="209"/>
      <c r="Y24" s="210"/>
      <c r="Z24" s="214"/>
      <c r="AA24" s="215"/>
      <c r="AB24" s="216"/>
      <c r="AC24" s="214"/>
      <c r="AD24" s="216"/>
      <c r="AE24" s="220"/>
      <c r="AF24" s="221"/>
      <c r="AG24" s="221"/>
      <c r="AH24" s="221"/>
      <c r="AI24" s="221"/>
      <c r="AJ24" s="221"/>
      <c r="AK24" s="222"/>
      <c r="AL24" s="73"/>
    </row>
    <row r="25" spans="1:38" s="48" customFormat="1" ht="13.5" customHeight="1">
      <c r="A25" s="72"/>
      <c r="B25" s="63">
        <f>B23+1</f>
        <v>4</v>
      </c>
      <c r="C25" s="189" t="str">
        <f>"項目"&amp;DBCS(B25)&amp;"名称"</f>
        <v>項目4名称</v>
      </c>
      <c r="D25" s="190"/>
      <c r="E25" s="190"/>
      <c r="F25" s="190"/>
      <c r="G25" s="191"/>
      <c r="H25" s="195" t="s">
        <v>90</v>
      </c>
      <c r="I25" s="196"/>
      <c r="J25" s="196"/>
      <c r="K25" s="196"/>
      <c r="L25" s="196"/>
      <c r="M25" s="196"/>
      <c r="N25" s="196"/>
      <c r="O25" s="196"/>
      <c r="P25" s="197"/>
      <c r="Q25" s="167" t="s">
        <v>168</v>
      </c>
      <c r="R25" s="168"/>
      <c r="S25" s="168"/>
      <c r="T25" s="168"/>
      <c r="U25" s="168"/>
      <c r="V25" s="168"/>
      <c r="W25" s="169"/>
      <c r="X25" s="207" t="s">
        <v>40</v>
      </c>
      <c r="Y25" s="208"/>
      <c r="Z25" s="211" t="s">
        <v>45</v>
      </c>
      <c r="AA25" s="212"/>
      <c r="AB25" s="213"/>
      <c r="AC25" s="211" t="s">
        <v>45</v>
      </c>
      <c r="AD25" s="213"/>
      <c r="AE25" s="217"/>
      <c r="AF25" s="218"/>
      <c r="AG25" s="218"/>
      <c r="AH25" s="218"/>
      <c r="AI25" s="218"/>
      <c r="AJ25" s="218"/>
      <c r="AK25" s="219"/>
      <c r="AL25" s="73"/>
    </row>
    <row r="26" spans="1:38" s="48" customFormat="1" ht="13.5" customHeight="1">
      <c r="A26" s="72"/>
      <c r="B26" s="64"/>
      <c r="C26" s="192"/>
      <c r="D26" s="193"/>
      <c r="E26" s="193"/>
      <c r="F26" s="193"/>
      <c r="G26" s="194"/>
      <c r="H26" s="198"/>
      <c r="I26" s="199"/>
      <c r="J26" s="199"/>
      <c r="K26" s="199"/>
      <c r="L26" s="199"/>
      <c r="M26" s="199"/>
      <c r="N26" s="199"/>
      <c r="O26" s="199"/>
      <c r="P26" s="200"/>
      <c r="Q26" s="170"/>
      <c r="R26" s="171"/>
      <c r="S26" s="171"/>
      <c r="T26" s="171"/>
      <c r="U26" s="171"/>
      <c r="V26" s="171"/>
      <c r="W26" s="172"/>
      <c r="X26" s="209"/>
      <c r="Y26" s="210"/>
      <c r="Z26" s="214"/>
      <c r="AA26" s="215"/>
      <c r="AB26" s="216"/>
      <c r="AC26" s="214"/>
      <c r="AD26" s="216"/>
      <c r="AE26" s="220"/>
      <c r="AF26" s="221"/>
      <c r="AG26" s="221"/>
      <c r="AH26" s="221"/>
      <c r="AI26" s="221"/>
      <c r="AJ26" s="221"/>
      <c r="AK26" s="222"/>
      <c r="AL26" s="73"/>
    </row>
    <row r="27" spans="1:38" s="48" customFormat="1" ht="13.5" customHeight="1">
      <c r="A27" s="72"/>
      <c r="B27" s="63">
        <f t="shared" ref="B27" si="2">B25+1</f>
        <v>5</v>
      </c>
      <c r="C27" s="189" t="str">
        <f>"項目"&amp;DBCS(B27)&amp;"名称"</f>
        <v>項目5名称</v>
      </c>
      <c r="D27" s="190"/>
      <c r="E27" s="190"/>
      <c r="F27" s="190"/>
      <c r="G27" s="191"/>
      <c r="H27" s="195" t="s">
        <v>90</v>
      </c>
      <c r="I27" s="196"/>
      <c r="J27" s="196"/>
      <c r="K27" s="196"/>
      <c r="L27" s="196"/>
      <c r="M27" s="196"/>
      <c r="N27" s="196"/>
      <c r="O27" s="196"/>
      <c r="P27" s="197"/>
      <c r="Q27" s="167" t="s">
        <v>169</v>
      </c>
      <c r="R27" s="168"/>
      <c r="S27" s="168"/>
      <c r="T27" s="168"/>
      <c r="U27" s="168"/>
      <c r="V27" s="168"/>
      <c r="W27" s="169"/>
      <c r="X27" s="207" t="s">
        <v>40</v>
      </c>
      <c r="Y27" s="208"/>
      <c r="Z27" s="211" t="s">
        <v>45</v>
      </c>
      <c r="AA27" s="212"/>
      <c r="AB27" s="213"/>
      <c r="AC27" s="211" t="s">
        <v>45</v>
      </c>
      <c r="AD27" s="213"/>
      <c r="AE27" s="217"/>
      <c r="AF27" s="218"/>
      <c r="AG27" s="218"/>
      <c r="AH27" s="218"/>
      <c r="AI27" s="218"/>
      <c r="AJ27" s="218"/>
      <c r="AK27" s="219"/>
      <c r="AL27" s="73"/>
    </row>
    <row r="28" spans="1:38" s="48" customFormat="1" ht="13.5" customHeight="1">
      <c r="A28" s="72"/>
      <c r="B28" s="64"/>
      <c r="C28" s="192"/>
      <c r="D28" s="193"/>
      <c r="E28" s="193"/>
      <c r="F28" s="193"/>
      <c r="G28" s="194"/>
      <c r="H28" s="198"/>
      <c r="I28" s="199"/>
      <c r="J28" s="199"/>
      <c r="K28" s="199"/>
      <c r="L28" s="199"/>
      <c r="M28" s="199"/>
      <c r="N28" s="199"/>
      <c r="O28" s="199"/>
      <c r="P28" s="200"/>
      <c r="Q28" s="170"/>
      <c r="R28" s="171"/>
      <c r="S28" s="171"/>
      <c r="T28" s="171"/>
      <c r="U28" s="171"/>
      <c r="V28" s="171"/>
      <c r="W28" s="172"/>
      <c r="X28" s="209"/>
      <c r="Y28" s="210"/>
      <c r="Z28" s="214"/>
      <c r="AA28" s="215"/>
      <c r="AB28" s="216"/>
      <c r="AC28" s="214"/>
      <c r="AD28" s="216"/>
      <c r="AE28" s="220"/>
      <c r="AF28" s="221"/>
      <c r="AG28" s="221"/>
      <c r="AH28" s="221"/>
      <c r="AI28" s="221"/>
      <c r="AJ28" s="221"/>
      <c r="AK28" s="222"/>
      <c r="AL28" s="73"/>
    </row>
    <row r="29" spans="1:38" s="48" customFormat="1" ht="13.5" customHeight="1">
      <c r="A29" s="72"/>
      <c r="B29" s="63">
        <f t="shared" ref="B29" si="3">B27+1</f>
        <v>6</v>
      </c>
      <c r="C29" s="189" t="str">
        <f>"項目"&amp;DBCS(B29)&amp;"名称"</f>
        <v>項目6名称</v>
      </c>
      <c r="D29" s="190"/>
      <c r="E29" s="190"/>
      <c r="F29" s="190"/>
      <c r="G29" s="191"/>
      <c r="H29" s="195" t="s">
        <v>90</v>
      </c>
      <c r="I29" s="196"/>
      <c r="J29" s="196"/>
      <c r="K29" s="196"/>
      <c r="L29" s="196"/>
      <c r="M29" s="196"/>
      <c r="N29" s="196"/>
      <c r="O29" s="196"/>
      <c r="P29" s="197"/>
      <c r="Q29" s="201" t="s">
        <v>91</v>
      </c>
      <c r="R29" s="202"/>
      <c r="S29" s="202"/>
      <c r="T29" s="202"/>
      <c r="U29" s="202"/>
      <c r="V29" s="202"/>
      <c r="W29" s="203"/>
      <c r="X29" s="207" t="s">
        <v>40</v>
      </c>
      <c r="Y29" s="208"/>
      <c r="Z29" s="211" t="s">
        <v>45</v>
      </c>
      <c r="AA29" s="212"/>
      <c r="AB29" s="213"/>
      <c r="AC29" s="211" t="s">
        <v>45</v>
      </c>
      <c r="AD29" s="213"/>
      <c r="AE29" s="217"/>
      <c r="AF29" s="218"/>
      <c r="AG29" s="218"/>
      <c r="AH29" s="218"/>
      <c r="AI29" s="218"/>
      <c r="AJ29" s="218"/>
      <c r="AK29" s="219"/>
      <c r="AL29" s="73"/>
    </row>
    <row r="30" spans="1:38" s="48" customFormat="1" ht="13.5" customHeight="1">
      <c r="A30" s="72"/>
      <c r="B30" s="64"/>
      <c r="C30" s="192"/>
      <c r="D30" s="193"/>
      <c r="E30" s="193"/>
      <c r="F30" s="193"/>
      <c r="G30" s="194"/>
      <c r="H30" s="198"/>
      <c r="I30" s="199"/>
      <c r="J30" s="199"/>
      <c r="K30" s="199"/>
      <c r="L30" s="199"/>
      <c r="M30" s="199"/>
      <c r="N30" s="199"/>
      <c r="O30" s="199"/>
      <c r="P30" s="200"/>
      <c r="Q30" s="204"/>
      <c r="R30" s="205"/>
      <c r="S30" s="205"/>
      <c r="T30" s="205"/>
      <c r="U30" s="205"/>
      <c r="V30" s="205"/>
      <c r="W30" s="206"/>
      <c r="X30" s="209"/>
      <c r="Y30" s="210"/>
      <c r="Z30" s="214"/>
      <c r="AA30" s="215"/>
      <c r="AB30" s="216"/>
      <c r="AC30" s="214"/>
      <c r="AD30" s="216"/>
      <c r="AE30" s="220"/>
      <c r="AF30" s="221"/>
      <c r="AG30" s="221"/>
      <c r="AH30" s="221"/>
      <c r="AI30" s="221"/>
      <c r="AJ30" s="221"/>
      <c r="AK30" s="222"/>
      <c r="AL30" s="73"/>
    </row>
    <row r="31" spans="1:38" s="48" customFormat="1" ht="13.5" customHeight="1">
      <c r="A31" s="72"/>
      <c r="B31" s="63">
        <f t="shared" ref="B31:B37" si="4">B29+1</f>
        <v>7</v>
      </c>
      <c r="C31" s="189" t="str">
        <f>"項目"&amp;DBCS(B31)&amp;"名称"</f>
        <v>項目7名称</v>
      </c>
      <c r="D31" s="190"/>
      <c r="E31" s="190"/>
      <c r="F31" s="190"/>
      <c r="G31" s="191"/>
      <c r="H31" s="195" t="s">
        <v>90</v>
      </c>
      <c r="I31" s="196"/>
      <c r="J31" s="196"/>
      <c r="K31" s="196"/>
      <c r="L31" s="196"/>
      <c r="M31" s="196"/>
      <c r="N31" s="196"/>
      <c r="O31" s="196"/>
      <c r="P31" s="197"/>
      <c r="Q31" s="201" t="s">
        <v>92</v>
      </c>
      <c r="R31" s="202"/>
      <c r="S31" s="202"/>
      <c r="T31" s="202"/>
      <c r="U31" s="202"/>
      <c r="V31" s="202"/>
      <c r="W31" s="203"/>
      <c r="X31" s="207" t="s">
        <v>40</v>
      </c>
      <c r="Y31" s="208"/>
      <c r="Z31" s="211" t="s">
        <v>45</v>
      </c>
      <c r="AA31" s="212"/>
      <c r="AB31" s="213"/>
      <c r="AC31" s="211" t="s">
        <v>45</v>
      </c>
      <c r="AD31" s="213"/>
      <c r="AE31" s="217"/>
      <c r="AF31" s="218"/>
      <c r="AG31" s="218"/>
      <c r="AH31" s="218"/>
      <c r="AI31" s="218"/>
      <c r="AJ31" s="218"/>
      <c r="AK31" s="219"/>
      <c r="AL31" s="73"/>
    </row>
    <row r="32" spans="1:38" s="48" customFormat="1" ht="13.5" customHeight="1">
      <c r="A32" s="72"/>
      <c r="B32" s="64"/>
      <c r="C32" s="192"/>
      <c r="D32" s="193"/>
      <c r="E32" s="193"/>
      <c r="F32" s="193"/>
      <c r="G32" s="194"/>
      <c r="H32" s="198"/>
      <c r="I32" s="199"/>
      <c r="J32" s="199"/>
      <c r="K32" s="199"/>
      <c r="L32" s="199"/>
      <c r="M32" s="199"/>
      <c r="N32" s="199"/>
      <c r="O32" s="199"/>
      <c r="P32" s="200"/>
      <c r="Q32" s="204"/>
      <c r="R32" s="205"/>
      <c r="S32" s="205"/>
      <c r="T32" s="205"/>
      <c r="U32" s="205"/>
      <c r="V32" s="205"/>
      <c r="W32" s="206"/>
      <c r="X32" s="209"/>
      <c r="Y32" s="210"/>
      <c r="Z32" s="214"/>
      <c r="AA32" s="215"/>
      <c r="AB32" s="216"/>
      <c r="AC32" s="214"/>
      <c r="AD32" s="216"/>
      <c r="AE32" s="220"/>
      <c r="AF32" s="221"/>
      <c r="AG32" s="221"/>
      <c r="AH32" s="221"/>
      <c r="AI32" s="221"/>
      <c r="AJ32" s="221"/>
      <c r="AK32" s="222"/>
      <c r="AL32" s="73"/>
    </row>
    <row r="33" spans="1:38" s="48" customFormat="1" ht="13.5" customHeight="1">
      <c r="A33" s="72"/>
      <c r="B33" s="136">
        <f t="shared" ref="B33" si="5">B31+1</f>
        <v>8</v>
      </c>
      <c r="C33" s="155" t="str">
        <f>"項目"&amp;DBCS(B33)&amp;"名称"</f>
        <v>項目8名称</v>
      </c>
      <c r="D33" s="156"/>
      <c r="E33" s="156"/>
      <c r="F33" s="156"/>
      <c r="G33" s="157"/>
      <c r="H33" s="161" t="s">
        <v>90</v>
      </c>
      <c r="I33" s="162"/>
      <c r="J33" s="162"/>
      <c r="K33" s="162"/>
      <c r="L33" s="162"/>
      <c r="M33" s="162"/>
      <c r="N33" s="162"/>
      <c r="O33" s="162"/>
      <c r="P33" s="163"/>
      <c r="Q33" s="167" t="s">
        <v>147</v>
      </c>
      <c r="R33" s="168"/>
      <c r="S33" s="168"/>
      <c r="T33" s="168"/>
      <c r="U33" s="168"/>
      <c r="V33" s="168"/>
      <c r="W33" s="169"/>
      <c r="X33" s="173" t="s">
        <v>40</v>
      </c>
      <c r="Y33" s="174"/>
      <c r="Z33" s="177" t="s">
        <v>28</v>
      </c>
      <c r="AA33" s="178"/>
      <c r="AB33" s="179"/>
      <c r="AC33" s="177" t="s">
        <v>28</v>
      </c>
      <c r="AD33" s="179"/>
      <c r="AE33" s="183"/>
      <c r="AF33" s="184"/>
      <c r="AG33" s="184"/>
      <c r="AH33" s="184"/>
      <c r="AI33" s="184"/>
      <c r="AJ33" s="184"/>
      <c r="AK33" s="185"/>
      <c r="AL33" s="73"/>
    </row>
    <row r="34" spans="1:38" s="48" customFormat="1" ht="13.5" customHeight="1">
      <c r="A34" s="72"/>
      <c r="B34" s="137"/>
      <c r="C34" s="158"/>
      <c r="D34" s="159"/>
      <c r="E34" s="159"/>
      <c r="F34" s="159"/>
      <c r="G34" s="160"/>
      <c r="H34" s="164"/>
      <c r="I34" s="165"/>
      <c r="J34" s="165"/>
      <c r="K34" s="165"/>
      <c r="L34" s="165"/>
      <c r="M34" s="165"/>
      <c r="N34" s="165"/>
      <c r="O34" s="165"/>
      <c r="P34" s="166"/>
      <c r="Q34" s="170"/>
      <c r="R34" s="171"/>
      <c r="S34" s="171"/>
      <c r="T34" s="171"/>
      <c r="U34" s="171"/>
      <c r="V34" s="171"/>
      <c r="W34" s="172"/>
      <c r="X34" s="175"/>
      <c r="Y34" s="176"/>
      <c r="Z34" s="180"/>
      <c r="AA34" s="181"/>
      <c r="AB34" s="182"/>
      <c r="AC34" s="180"/>
      <c r="AD34" s="182"/>
      <c r="AE34" s="186"/>
      <c r="AF34" s="187"/>
      <c r="AG34" s="187"/>
      <c r="AH34" s="187"/>
      <c r="AI34" s="187"/>
      <c r="AJ34" s="187"/>
      <c r="AK34" s="188"/>
      <c r="AL34" s="73"/>
    </row>
    <row r="35" spans="1:38" s="48" customFormat="1" ht="13.5" customHeight="1">
      <c r="A35" s="72"/>
      <c r="B35" s="63">
        <f t="shared" ref="B35" si="6">B33+1</f>
        <v>9</v>
      </c>
      <c r="C35" s="189" t="str">
        <f>"項目"&amp;DBCS(B35)&amp;"名称"</f>
        <v>項目9名称</v>
      </c>
      <c r="D35" s="190"/>
      <c r="E35" s="190"/>
      <c r="F35" s="190"/>
      <c r="G35" s="191"/>
      <c r="H35" s="195" t="s">
        <v>90</v>
      </c>
      <c r="I35" s="196"/>
      <c r="J35" s="196"/>
      <c r="K35" s="196"/>
      <c r="L35" s="196"/>
      <c r="M35" s="196"/>
      <c r="N35" s="196"/>
      <c r="O35" s="196"/>
      <c r="P35" s="197"/>
      <c r="Q35" s="201" t="s">
        <v>142</v>
      </c>
      <c r="R35" s="202"/>
      <c r="S35" s="202"/>
      <c r="T35" s="202"/>
      <c r="U35" s="202"/>
      <c r="V35" s="202"/>
      <c r="W35" s="203"/>
      <c r="X35" s="207" t="s">
        <v>40</v>
      </c>
      <c r="Y35" s="208"/>
      <c r="Z35" s="211" t="s">
        <v>45</v>
      </c>
      <c r="AA35" s="212"/>
      <c r="AB35" s="213"/>
      <c r="AC35" s="211" t="s">
        <v>45</v>
      </c>
      <c r="AD35" s="213"/>
      <c r="AE35" s="217"/>
      <c r="AF35" s="218"/>
      <c r="AG35" s="218"/>
      <c r="AH35" s="218"/>
      <c r="AI35" s="218"/>
      <c r="AJ35" s="218"/>
      <c r="AK35" s="219"/>
      <c r="AL35" s="73"/>
    </row>
    <row r="36" spans="1:38" s="48" customFormat="1" ht="13.5" customHeight="1">
      <c r="A36" s="72"/>
      <c r="B36" s="64"/>
      <c r="C36" s="192"/>
      <c r="D36" s="193"/>
      <c r="E36" s="193"/>
      <c r="F36" s="193"/>
      <c r="G36" s="194"/>
      <c r="H36" s="198"/>
      <c r="I36" s="199"/>
      <c r="J36" s="199"/>
      <c r="K36" s="199"/>
      <c r="L36" s="199"/>
      <c r="M36" s="199"/>
      <c r="N36" s="199"/>
      <c r="O36" s="199"/>
      <c r="P36" s="200"/>
      <c r="Q36" s="204"/>
      <c r="R36" s="205"/>
      <c r="S36" s="205"/>
      <c r="T36" s="205"/>
      <c r="U36" s="205"/>
      <c r="V36" s="205"/>
      <c r="W36" s="206"/>
      <c r="X36" s="209"/>
      <c r="Y36" s="210"/>
      <c r="Z36" s="214"/>
      <c r="AA36" s="215"/>
      <c r="AB36" s="216"/>
      <c r="AC36" s="214"/>
      <c r="AD36" s="216"/>
      <c r="AE36" s="220"/>
      <c r="AF36" s="221"/>
      <c r="AG36" s="221"/>
      <c r="AH36" s="221"/>
      <c r="AI36" s="221"/>
      <c r="AJ36" s="221"/>
      <c r="AK36" s="222"/>
      <c r="AL36" s="73"/>
    </row>
    <row r="37" spans="1:38" s="48" customFormat="1" ht="13.5" customHeight="1">
      <c r="A37" s="72"/>
      <c r="B37" s="63">
        <f t="shared" si="4"/>
        <v>10</v>
      </c>
      <c r="C37" s="189" t="str">
        <f>"項目"&amp;DBCS(B37)&amp;"名称"</f>
        <v>項目10名称</v>
      </c>
      <c r="D37" s="190"/>
      <c r="E37" s="190"/>
      <c r="F37" s="190"/>
      <c r="G37" s="191"/>
      <c r="H37" s="195" t="s">
        <v>90</v>
      </c>
      <c r="I37" s="196"/>
      <c r="J37" s="196"/>
      <c r="K37" s="196"/>
      <c r="L37" s="196"/>
      <c r="M37" s="196"/>
      <c r="N37" s="196"/>
      <c r="O37" s="196"/>
      <c r="P37" s="197"/>
      <c r="Q37" s="201" t="s">
        <v>93</v>
      </c>
      <c r="R37" s="202"/>
      <c r="S37" s="202"/>
      <c r="T37" s="202"/>
      <c r="U37" s="202"/>
      <c r="V37" s="202"/>
      <c r="W37" s="203"/>
      <c r="X37" s="207" t="s">
        <v>40</v>
      </c>
      <c r="Y37" s="208"/>
      <c r="Z37" s="211" t="s">
        <v>45</v>
      </c>
      <c r="AA37" s="212"/>
      <c r="AB37" s="213"/>
      <c r="AC37" s="211" t="s">
        <v>45</v>
      </c>
      <c r="AD37" s="213"/>
      <c r="AE37" s="217"/>
      <c r="AF37" s="218"/>
      <c r="AG37" s="218"/>
      <c r="AH37" s="218"/>
      <c r="AI37" s="218"/>
      <c r="AJ37" s="218"/>
      <c r="AK37" s="219"/>
      <c r="AL37" s="73"/>
    </row>
    <row r="38" spans="1:38" s="48" customFormat="1" ht="13.5" customHeight="1">
      <c r="A38" s="72"/>
      <c r="B38" s="64"/>
      <c r="C38" s="192"/>
      <c r="D38" s="193"/>
      <c r="E38" s="193"/>
      <c r="F38" s="193"/>
      <c r="G38" s="194"/>
      <c r="H38" s="198"/>
      <c r="I38" s="199"/>
      <c r="J38" s="199"/>
      <c r="K38" s="199"/>
      <c r="L38" s="199"/>
      <c r="M38" s="199"/>
      <c r="N38" s="199"/>
      <c r="O38" s="199"/>
      <c r="P38" s="200"/>
      <c r="Q38" s="204"/>
      <c r="R38" s="205"/>
      <c r="S38" s="205"/>
      <c r="T38" s="205"/>
      <c r="U38" s="205"/>
      <c r="V38" s="205"/>
      <c r="W38" s="206"/>
      <c r="X38" s="209"/>
      <c r="Y38" s="210"/>
      <c r="Z38" s="214"/>
      <c r="AA38" s="215"/>
      <c r="AB38" s="216"/>
      <c r="AC38" s="214"/>
      <c r="AD38" s="216"/>
      <c r="AE38" s="220"/>
      <c r="AF38" s="221"/>
      <c r="AG38" s="221"/>
      <c r="AH38" s="221"/>
      <c r="AI38" s="221"/>
      <c r="AJ38" s="221"/>
      <c r="AK38" s="222"/>
      <c r="AL38" s="73"/>
    </row>
    <row r="39" spans="1:38" s="48" customFormat="1" ht="13.5" customHeight="1">
      <c r="A39" s="72"/>
      <c r="B39" s="63">
        <f t="shared" ref="B39" si="7">B37+1</f>
        <v>11</v>
      </c>
      <c r="C39" s="189" t="str">
        <f>"項目"&amp;DBCS(B39)&amp;"名称"</f>
        <v>項目11名称</v>
      </c>
      <c r="D39" s="190"/>
      <c r="E39" s="190"/>
      <c r="F39" s="190"/>
      <c r="G39" s="191"/>
      <c r="H39" s="195" t="s">
        <v>90</v>
      </c>
      <c r="I39" s="196"/>
      <c r="J39" s="196"/>
      <c r="K39" s="196"/>
      <c r="L39" s="196"/>
      <c r="M39" s="196"/>
      <c r="N39" s="196"/>
      <c r="O39" s="196"/>
      <c r="P39" s="197"/>
      <c r="Q39" s="201" t="s">
        <v>99</v>
      </c>
      <c r="R39" s="202"/>
      <c r="S39" s="202"/>
      <c r="T39" s="202"/>
      <c r="U39" s="202"/>
      <c r="V39" s="202"/>
      <c r="W39" s="203"/>
      <c r="X39" s="207" t="s">
        <v>40</v>
      </c>
      <c r="Y39" s="208"/>
      <c r="Z39" s="211" t="s">
        <v>45</v>
      </c>
      <c r="AA39" s="212"/>
      <c r="AB39" s="213"/>
      <c r="AC39" s="211" t="s">
        <v>45</v>
      </c>
      <c r="AD39" s="213"/>
      <c r="AE39" s="217"/>
      <c r="AF39" s="218"/>
      <c r="AG39" s="218"/>
      <c r="AH39" s="218"/>
      <c r="AI39" s="218"/>
      <c r="AJ39" s="218"/>
      <c r="AK39" s="219"/>
      <c r="AL39" s="73"/>
    </row>
    <row r="40" spans="1:38" s="48" customFormat="1" ht="13.5" customHeight="1">
      <c r="A40" s="72"/>
      <c r="B40" s="64"/>
      <c r="C40" s="192"/>
      <c r="D40" s="193"/>
      <c r="E40" s="193"/>
      <c r="F40" s="193"/>
      <c r="G40" s="194"/>
      <c r="H40" s="198"/>
      <c r="I40" s="199"/>
      <c r="J40" s="199"/>
      <c r="K40" s="199"/>
      <c r="L40" s="199"/>
      <c r="M40" s="199"/>
      <c r="N40" s="199"/>
      <c r="O40" s="199"/>
      <c r="P40" s="200"/>
      <c r="Q40" s="204"/>
      <c r="R40" s="205"/>
      <c r="S40" s="205"/>
      <c r="T40" s="205"/>
      <c r="U40" s="205"/>
      <c r="V40" s="205"/>
      <c r="W40" s="206"/>
      <c r="X40" s="209"/>
      <c r="Y40" s="210"/>
      <c r="Z40" s="214"/>
      <c r="AA40" s="215"/>
      <c r="AB40" s="216"/>
      <c r="AC40" s="214"/>
      <c r="AD40" s="216"/>
      <c r="AE40" s="220"/>
      <c r="AF40" s="221"/>
      <c r="AG40" s="221"/>
      <c r="AH40" s="221"/>
      <c r="AI40" s="221"/>
      <c r="AJ40" s="221"/>
      <c r="AK40" s="222"/>
      <c r="AL40" s="73"/>
    </row>
    <row r="41" spans="1:38" s="48" customFormat="1" ht="13.5" customHeight="1">
      <c r="A41" s="72"/>
      <c r="B41" s="97"/>
      <c r="C41" s="98"/>
      <c r="D41" s="98"/>
      <c r="E41" s="98"/>
      <c r="F41" s="98"/>
      <c r="G41" s="98"/>
      <c r="H41" s="87"/>
      <c r="I41" s="85"/>
      <c r="J41" s="85"/>
      <c r="K41" s="85"/>
      <c r="L41" s="85"/>
      <c r="M41" s="85"/>
      <c r="N41" s="85"/>
      <c r="O41" s="85"/>
      <c r="P41" s="85"/>
      <c r="Q41" s="91"/>
      <c r="R41" s="91"/>
      <c r="S41" s="91"/>
      <c r="T41" s="91"/>
      <c r="U41" s="91"/>
      <c r="V41" s="91"/>
      <c r="W41" s="91"/>
      <c r="X41" s="93"/>
      <c r="Y41" s="93"/>
      <c r="Z41" s="86"/>
      <c r="AA41" s="86"/>
      <c r="AB41" s="86"/>
      <c r="AC41" s="86"/>
      <c r="AD41" s="86"/>
      <c r="AE41" s="87"/>
      <c r="AF41" s="87"/>
      <c r="AG41" s="87"/>
      <c r="AH41" s="87"/>
      <c r="AI41" s="87"/>
      <c r="AJ41" s="87"/>
      <c r="AK41" s="87"/>
      <c r="AL41" s="73"/>
    </row>
    <row r="42" spans="1:38" s="48" customFormat="1" ht="13.5" customHeight="1">
      <c r="A42" s="90"/>
      <c r="B42" s="117"/>
      <c r="C42" s="96"/>
      <c r="D42" s="96"/>
      <c r="E42" s="96"/>
      <c r="F42" s="96"/>
      <c r="G42" s="96"/>
      <c r="H42" s="81"/>
      <c r="I42" s="79"/>
      <c r="J42" s="79"/>
      <c r="K42" s="79"/>
      <c r="L42" s="79"/>
      <c r="M42" s="79"/>
      <c r="N42" s="79"/>
      <c r="O42" s="79"/>
      <c r="P42" s="79"/>
      <c r="Q42" s="89"/>
      <c r="R42" s="89"/>
      <c r="S42" s="89"/>
      <c r="T42" s="89"/>
      <c r="U42" s="89"/>
      <c r="V42" s="89"/>
      <c r="W42" s="89"/>
      <c r="X42" s="110"/>
      <c r="Y42" s="110"/>
      <c r="Z42" s="77"/>
      <c r="AA42" s="77"/>
      <c r="AB42" s="77"/>
      <c r="AC42" s="77"/>
      <c r="AD42" s="77"/>
      <c r="AE42" s="81"/>
      <c r="AF42" s="81"/>
      <c r="AG42" s="81"/>
      <c r="AH42" s="81"/>
      <c r="AI42" s="81"/>
      <c r="AJ42" s="81"/>
      <c r="AK42" s="81"/>
      <c r="AL42" s="94"/>
    </row>
    <row r="43" spans="1:38" s="48" customFormat="1" ht="13.5" customHeight="1">
      <c r="A43" s="111"/>
      <c r="B43" s="112"/>
      <c r="C43" s="95"/>
      <c r="D43" s="95"/>
      <c r="E43" s="95"/>
      <c r="F43" s="95"/>
      <c r="G43" s="95"/>
      <c r="H43" s="80"/>
      <c r="I43" s="78"/>
      <c r="J43" s="78"/>
      <c r="K43" s="78"/>
      <c r="L43" s="78"/>
      <c r="M43" s="78"/>
      <c r="N43" s="78"/>
      <c r="O43" s="78"/>
      <c r="P43" s="78"/>
      <c r="Q43" s="88"/>
      <c r="R43" s="88"/>
      <c r="S43" s="88"/>
      <c r="T43" s="88"/>
      <c r="U43" s="88"/>
      <c r="V43" s="88"/>
      <c r="W43" s="88"/>
      <c r="X43" s="113"/>
      <c r="Y43" s="113"/>
      <c r="Z43" s="76"/>
      <c r="AA43" s="76"/>
      <c r="AB43" s="76"/>
      <c r="AC43" s="76"/>
      <c r="AD43" s="76"/>
      <c r="AE43" s="80"/>
      <c r="AF43" s="80"/>
      <c r="AG43" s="80"/>
      <c r="AH43" s="80"/>
      <c r="AI43" s="80"/>
      <c r="AJ43" s="80"/>
      <c r="AK43" s="80"/>
      <c r="AL43" s="99"/>
    </row>
    <row r="44" spans="1:38" s="40" customFormat="1" ht="13.5" customHeight="1">
      <c r="A44" s="67"/>
      <c r="B44" s="41" t="s">
        <v>123</v>
      </c>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68"/>
    </row>
    <row r="45" spans="1:38" s="40" customFormat="1" ht="13.5" customHeight="1">
      <c r="A45" s="67"/>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68"/>
    </row>
    <row r="46" spans="1:38" s="40" customFormat="1" ht="13.5" customHeight="1">
      <c r="A46" s="67"/>
      <c r="B46" s="42" t="s">
        <v>29</v>
      </c>
      <c r="C46" s="43" t="s">
        <v>7</v>
      </c>
      <c r="D46" s="44"/>
      <c r="E46" s="45"/>
      <c r="F46" s="45"/>
      <c r="G46" s="46"/>
      <c r="H46" s="44" t="s">
        <v>21</v>
      </c>
      <c r="I46" s="45"/>
      <c r="J46" s="45"/>
      <c r="K46" s="45"/>
      <c r="L46" s="45"/>
      <c r="M46" s="45"/>
      <c r="N46" s="45"/>
      <c r="O46" s="45"/>
      <c r="P46" s="46"/>
      <c r="Q46" s="44" t="s">
        <v>30</v>
      </c>
      <c r="R46" s="45"/>
      <c r="S46" s="45"/>
      <c r="T46" s="45"/>
      <c r="U46" s="45"/>
      <c r="V46" s="46"/>
      <c r="W46" s="46"/>
      <c r="X46" s="44" t="s">
        <v>31</v>
      </c>
      <c r="Y46" s="46"/>
      <c r="Z46" s="44" t="s">
        <v>22</v>
      </c>
      <c r="AA46" s="46"/>
      <c r="AB46" s="44"/>
      <c r="AC46" s="44" t="s">
        <v>32</v>
      </c>
      <c r="AD46" s="47"/>
      <c r="AE46" s="47" t="s">
        <v>35</v>
      </c>
      <c r="AF46" s="45"/>
      <c r="AG46" s="45"/>
      <c r="AH46" s="45"/>
      <c r="AI46" s="45"/>
      <c r="AJ46" s="45"/>
      <c r="AK46" s="46"/>
      <c r="AL46" s="68"/>
    </row>
    <row r="47" spans="1:38" s="48" customFormat="1" ht="13.5" customHeight="1">
      <c r="A47" s="72"/>
      <c r="B47" s="136">
        <f>B39+1</f>
        <v>12</v>
      </c>
      <c r="C47" s="155" t="str">
        <f>"項目"&amp;DBCS(B47)&amp;"名称"</f>
        <v>項目12名称</v>
      </c>
      <c r="D47" s="156"/>
      <c r="E47" s="156"/>
      <c r="F47" s="156"/>
      <c r="G47" s="157"/>
      <c r="H47" s="161" t="s">
        <v>90</v>
      </c>
      <c r="I47" s="162"/>
      <c r="J47" s="162"/>
      <c r="K47" s="162"/>
      <c r="L47" s="162"/>
      <c r="M47" s="162"/>
      <c r="N47" s="162"/>
      <c r="O47" s="162"/>
      <c r="P47" s="163"/>
      <c r="Q47" s="167" t="s">
        <v>148</v>
      </c>
      <c r="R47" s="168"/>
      <c r="S47" s="168"/>
      <c r="T47" s="168"/>
      <c r="U47" s="168"/>
      <c r="V47" s="168"/>
      <c r="W47" s="169"/>
      <c r="X47" s="173" t="s">
        <v>40</v>
      </c>
      <c r="Y47" s="174"/>
      <c r="Z47" s="177" t="s">
        <v>28</v>
      </c>
      <c r="AA47" s="178"/>
      <c r="AB47" s="179"/>
      <c r="AC47" s="177" t="s">
        <v>28</v>
      </c>
      <c r="AD47" s="179"/>
      <c r="AE47" s="183"/>
      <c r="AF47" s="184"/>
      <c r="AG47" s="184"/>
      <c r="AH47" s="184"/>
      <c r="AI47" s="184"/>
      <c r="AJ47" s="184"/>
      <c r="AK47" s="185"/>
      <c r="AL47" s="73"/>
    </row>
    <row r="48" spans="1:38" s="48" customFormat="1" ht="13.5" customHeight="1">
      <c r="A48" s="72"/>
      <c r="B48" s="137"/>
      <c r="C48" s="158"/>
      <c r="D48" s="159"/>
      <c r="E48" s="159"/>
      <c r="F48" s="159"/>
      <c r="G48" s="160"/>
      <c r="H48" s="164"/>
      <c r="I48" s="165"/>
      <c r="J48" s="165"/>
      <c r="K48" s="165"/>
      <c r="L48" s="165"/>
      <c r="M48" s="165"/>
      <c r="N48" s="165"/>
      <c r="O48" s="165"/>
      <c r="P48" s="166"/>
      <c r="Q48" s="170"/>
      <c r="R48" s="171"/>
      <c r="S48" s="171"/>
      <c r="T48" s="171"/>
      <c r="U48" s="171"/>
      <c r="V48" s="171"/>
      <c r="W48" s="172"/>
      <c r="X48" s="175"/>
      <c r="Y48" s="176"/>
      <c r="Z48" s="180"/>
      <c r="AA48" s="181"/>
      <c r="AB48" s="182"/>
      <c r="AC48" s="180"/>
      <c r="AD48" s="182"/>
      <c r="AE48" s="186"/>
      <c r="AF48" s="187"/>
      <c r="AG48" s="187"/>
      <c r="AH48" s="187"/>
      <c r="AI48" s="187"/>
      <c r="AJ48" s="187"/>
      <c r="AK48" s="188"/>
      <c r="AL48" s="73"/>
    </row>
    <row r="49" spans="1:38" s="48" customFormat="1" ht="13.5" customHeight="1">
      <c r="A49" s="72"/>
      <c r="B49" s="63">
        <f>B47+1</f>
        <v>13</v>
      </c>
      <c r="C49" s="189" t="str">
        <f>"項目"&amp;DBCS(B49)&amp;"名称"</f>
        <v>項目13名称</v>
      </c>
      <c r="D49" s="190"/>
      <c r="E49" s="190"/>
      <c r="F49" s="190"/>
      <c r="G49" s="191"/>
      <c r="H49" s="195" t="s">
        <v>90</v>
      </c>
      <c r="I49" s="196"/>
      <c r="J49" s="196"/>
      <c r="K49" s="196"/>
      <c r="L49" s="196"/>
      <c r="M49" s="196"/>
      <c r="N49" s="196"/>
      <c r="O49" s="196"/>
      <c r="P49" s="197"/>
      <c r="Q49" s="201" t="s">
        <v>94</v>
      </c>
      <c r="R49" s="202"/>
      <c r="S49" s="202"/>
      <c r="T49" s="202"/>
      <c r="U49" s="202"/>
      <c r="V49" s="202"/>
      <c r="W49" s="203"/>
      <c r="X49" s="207" t="s">
        <v>40</v>
      </c>
      <c r="Y49" s="208"/>
      <c r="Z49" s="211" t="s">
        <v>45</v>
      </c>
      <c r="AA49" s="212"/>
      <c r="AB49" s="213"/>
      <c r="AC49" s="211" t="s">
        <v>45</v>
      </c>
      <c r="AD49" s="213"/>
      <c r="AE49" s="217"/>
      <c r="AF49" s="218"/>
      <c r="AG49" s="218"/>
      <c r="AH49" s="218"/>
      <c r="AI49" s="218"/>
      <c r="AJ49" s="218"/>
      <c r="AK49" s="219"/>
      <c r="AL49" s="73"/>
    </row>
    <row r="50" spans="1:38" s="48" customFormat="1" ht="13.5" customHeight="1">
      <c r="A50" s="72"/>
      <c r="B50" s="64"/>
      <c r="C50" s="192"/>
      <c r="D50" s="193"/>
      <c r="E50" s="193"/>
      <c r="F50" s="193"/>
      <c r="G50" s="194"/>
      <c r="H50" s="198"/>
      <c r="I50" s="199"/>
      <c r="J50" s="199"/>
      <c r="K50" s="199"/>
      <c r="L50" s="199"/>
      <c r="M50" s="199"/>
      <c r="N50" s="199"/>
      <c r="O50" s="199"/>
      <c r="P50" s="200"/>
      <c r="Q50" s="204"/>
      <c r="R50" s="205"/>
      <c r="S50" s="205"/>
      <c r="T50" s="205"/>
      <c r="U50" s="205"/>
      <c r="V50" s="205"/>
      <c r="W50" s="206"/>
      <c r="X50" s="209"/>
      <c r="Y50" s="210"/>
      <c r="Z50" s="214"/>
      <c r="AA50" s="215"/>
      <c r="AB50" s="216"/>
      <c r="AC50" s="214"/>
      <c r="AD50" s="216"/>
      <c r="AE50" s="220"/>
      <c r="AF50" s="221"/>
      <c r="AG50" s="221"/>
      <c r="AH50" s="221"/>
      <c r="AI50" s="221"/>
      <c r="AJ50" s="221"/>
      <c r="AK50" s="222"/>
      <c r="AL50" s="73"/>
    </row>
    <row r="51" spans="1:38" s="48" customFormat="1" ht="13.5" customHeight="1">
      <c r="A51" s="72"/>
      <c r="B51" s="63">
        <f>B49+1</f>
        <v>14</v>
      </c>
      <c r="C51" s="189" t="str">
        <f>"項目"&amp;DBCS(B51)&amp;"名称"</f>
        <v>項目14名称</v>
      </c>
      <c r="D51" s="190"/>
      <c r="E51" s="190"/>
      <c r="F51" s="190"/>
      <c r="G51" s="191"/>
      <c r="H51" s="195" t="s">
        <v>90</v>
      </c>
      <c r="I51" s="196"/>
      <c r="J51" s="196"/>
      <c r="K51" s="196"/>
      <c r="L51" s="196"/>
      <c r="M51" s="196"/>
      <c r="N51" s="196"/>
      <c r="O51" s="196"/>
      <c r="P51" s="197"/>
      <c r="Q51" s="167" t="s">
        <v>210</v>
      </c>
      <c r="R51" s="168"/>
      <c r="S51" s="168"/>
      <c r="T51" s="168"/>
      <c r="U51" s="168"/>
      <c r="V51" s="168"/>
      <c r="W51" s="169"/>
      <c r="X51" s="207" t="s">
        <v>40</v>
      </c>
      <c r="Y51" s="208"/>
      <c r="Z51" s="211" t="s">
        <v>45</v>
      </c>
      <c r="AA51" s="212"/>
      <c r="AB51" s="213"/>
      <c r="AC51" s="211" t="s">
        <v>45</v>
      </c>
      <c r="AD51" s="213"/>
      <c r="AE51" s="217"/>
      <c r="AF51" s="218"/>
      <c r="AG51" s="218"/>
      <c r="AH51" s="218"/>
      <c r="AI51" s="218"/>
      <c r="AJ51" s="218"/>
      <c r="AK51" s="219"/>
      <c r="AL51" s="73"/>
    </row>
    <row r="52" spans="1:38" s="48" customFormat="1" ht="13.5" customHeight="1">
      <c r="A52" s="72"/>
      <c r="B52" s="64"/>
      <c r="C52" s="192"/>
      <c r="D52" s="193"/>
      <c r="E52" s="193"/>
      <c r="F52" s="193"/>
      <c r="G52" s="194"/>
      <c r="H52" s="198"/>
      <c r="I52" s="199"/>
      <c r="J52" s="199"/>
      <c r="K52" s="199"/>
      <c r="L52" s="199"/>
      <c r="M52" s="199"/>
      <c r="N52" s="199"/>
      <c r="O52" s="199"/>
      <c r="P52" s="200"/>
      <c r="Q52" s="170"/>
      <c r="R52" s="171"/>
      <c r="S52" s="171"/>
      <c r="T52" s="171"/>
      <c r="U52" s="171"/>
      <c r="V52" s="171"/>
      <c r="W52" s="172"/>
      <c r="X52" s="209"/>
      <c r="Y52" s="210"/>
      <c r="Z52" s="214"/>
      <c r="AA52" s="215"/>
      <c r="AB52" s="216"/>
      <c r="AC52" s="214"/>
      <c r="AD52" s="216"/>
      <c r="AE52" s="220"/>
      <c r="AF52" s="221"/>
      <c r="AG52" s="221"/>
      <c r="AH52" s="221"/>
      <c r="AI52" s="221"/>
      <c r="AJ52" s="221"/>
      <c r="AK52" s="222"/>
      <c r="AL52" s="73"/>
    </row>
    <row r="53" spans="1:38" s="48" customFormat="1" ht="13.5" customHeight="1">
      <c r="A53" s="72"/>
      <c r="B53" s="63">
        <f>B51+1</f>
        <v>15</v>
      </c>
      <c r="C53" s="189" t="str">
        <f>"項目"&amp;DBCS(B53)&amp;"名称"</f>
        <v>項目15名称</v>
      </c>
      <c r="D53" s="190"/>
      <c r="E53" s="190"/>
      <c r="F53" s="190"/>
      <c r="G53" s="191"/>
      <c r="H53" s="195" t="s">
        <v>90</v>
      </c>
      <c r="I53" s="196"/>
      <c r="J53" s="196"/>
      <c r="K53" s="196"/>
      <c r="L53" s="196"/>
      <c r="M53" s="196"/>
      <c r="N53" s="196"/>
      <c r="O53" s="196"/>
      <c r="P53" s="197"/>
      <c r="Q53" s="201" t="s">
        <v>95</v>
      </c>
      <c r="R53" s="202"/>
      <c r="S53" s="202"/>
      <c r="T53" s="202"/>
      <c r="U53" s="202"/>
      <c r="V53" s="202"/>
      <c r="W53" s="203"/>
      <c r="X53" s="207" t="s">
        <v>40</v>
      </c>
      <c r="Y53" s="208"/>
      <c r="Z53" s="211" t="s">
        <v>45</v>
      </c>
      <c r="AA53" s="212"/>
      <c r="AB53" s="213"/>
      <c r="AC53" s="211" t="s">
        <v>45</v>
      </c>
      <c r="AD53" s="213"/>
      <c r="AE53" s="217"/>
      <c r="AF53" s="218"/>
      <c r="AG53" s="218"/>
      <c r="AH53" s="218"/>
      <c r="AI53" s="218"/>
      <c r="AJ53" s="218"/>
      <c r="AK53" s="219"/>
      <c r="AL53" s="73"/>
    </row>
    <row r="54" spans="1:38" s="48" customFormat="1" ht="13.5" customHeight="1">
      <c r="A54" s="72"/>
      <c r="B54" s="64"/>
      <c r="C54" s="192"/>
      <c r="D54" s="193"/>
      <c r="E54" s="193"/>
      <c r="F54" s="193"/>
      <c r="G54" s="194"/>
      <c r="H54" s="198"/>
      <c r="I54" s="199"/>
      <c r="J54" s="199"/>
      <c r="K54" s="199"/>
      <c r="L54" s="199"/>
      <c r="M54" s="199"/>
      <c r="N54" s="199"/>
      <c r="O54" s="199"/>
      <c r="P54" s="200"/>
      <c r="Q54" s="204"/>
      <c r="R54" s="205"/>
      <c r="S54" s="205"/>
      <c r="T54" s="205"/>
      <c r="U54" s="205"/>
      <c r="V54" s="205"/>
      <c r="W54" s="206"/>
      <c r="X54" s="209"/>
      <c r="Y54" s="210"/>
      <c r="Z54" s="214"/>
      <c r="AA54" s="215"/>
      <c r="AB54" s="216"/>
      <c r="AC54" s="214"/>
      <c r="AD54" s="216"/>
      <c r="AE54" s="220"/>
      <c r="AF54" s="221"/>
      <c r="AG54" s="221"/>
      <c r="AH54" s="221"/>
      <c r="AI54" s="221"/>
      <c r="AJ54" s="221"/>
      <c r="AK54" s="222"/>
      <c r="AL54" s="73"/>
    </row>
    <row r="55" spans="1:38" s="48" customFormat="1" ht="13.5" customHeight="1">
      <c r="A55" s="72"/>
      <c r="B55" s="63">
        <f t="shared" ref="B55" si="8">B53+1</f>
        <v>16</v>
      </c>
      <c r="C55" s="189" t="str">
        <f>"項目"&amp;DBCS(B55)&amp;"名称"</f>
        <v>項目16名称</v>
      </c>
      <c r="D55" s="190"/>
      <c r="E55" s="190"/>
      <c r="F55" s="190"/>
      <c r="G55" s="191"/>
      <c r="H55" s="195" t="s">
        <v>90</v>
      </c>
      <c r="I55" s="196"/>
      <c r="J55" s="196"/>
      <c r="K55" s="196"/>
      <c r="L55" s="196"/>
      <c r="M55" s="196"/>
      <c r="N55" s="196"/>
      <c r="O55" s="196"/>
      <c r="P55" s="197"/>
      <c r="Q55" s="201" t="s">
        <v>96</v>
      </c>
      <c r="R55" s="202"/>
      <c r="S55" s="202"/>
      <c r="T55" s="202"/>
      <c r="U55" s="202"/>
      <c r="V55" s="202"/>
      <c r="W55" s="203"/>
      <c r="X55" s="207" t="s">
        <v>40</v>
      </c>
      <c r="Y55" s="208"/>
      <c r="Z55" s="211" t="s">
        <v>45</v>
      </c>
      <c r="AA55" s="212"/>
      <c r="AB55" s="213"/>
      <c r="AC55" s="211" t="s">
        <v>45</v>
      </c>
      <c r="AD55" s="213"/>
      <c r="AE55" s="217"/>
      <c r="AF55" s="218"/>
      <c r="AG55" s="218"/>
      <c r="AH55" s="218"/>
      <c r="AI55" s="218"/>
      <c r="AJ55" s="218"/>
      <c r="AK55" s="219"/>
      <c r="AL55" s="73"/>
    </row>
    <row r="56" spans="1:38" s="48" customFormat="1" ht="13.5" customHeight="1">
      <c r="A56" s="72"/>
      <c r="B56" s="64"/>
      <c r="C56" s="192"/>
      <c r="D56" s="193"/>
      <c r="E56" s="193"/>
      <c r="F56" s="193"/>
      <c r="G56" s="194"/>
      <c r="H56" s="198"/>
      <c r="I56" s="199"/>
      <c r="J56" s="199"/>
      <c r="K56" s="199"/>
      <c r="L56" s="199"/>
      <c r="M56" s="199"/>
      <c r="N56" s="199"/>
      <c r="O56" s="199"/>
      <c r="P56" s="200"/>
      <c r="Q56" s="204"/>
      <c r="R56" s="205"/>
      <c r="S56" s="205"/>
      <c r="T56" s="205"/>
      <c r="U56" s="205"/>
      <c r="V56" s="205"/>
      <c r="W56" s="206"/>
      <c r="X56" s="209"/>
      <c r="Y56" s="210"/>
      <c r="Z56" s="214"/>
      <c r="AA56" s="215"/>
      <c r="AB56" s="216"/>
      <c r="AC56" s="214"/>
      <c r="AD56" s="216"/>
      <c r="AE56" s="220"/>
      <c r="AF56" s="221"/>
      <c r="AG56" s="221"/>
      <c r="AH56" s="221"/>
      <c r="AI56" s="221"/>
      <c r="AJ56" s="221"/>
      <c r="AK56" s="222"/>
      <c r="AL56" s="73"/>
    </row>
    <row r="57" spans="1:38" s="48" customFormat="1" ht="13.5" customHeight="1">
      <c r="A57" s="72"/>
      <c r="B57" s="63">
        <f t="shared" ref="B57" si="9">B55+1</f>
        <v>17</v>
      </c>
      <c r="C57" s="189" t="str">
        <f>"項目"&amp;DBCS(B57)&amp;"名称"</f>
        <v>項目17名称</v>
      </c>
      <c r="D57" s="190"/>
      <c r="E57" s="190"/>
      <c r="F57" s="190"/>
      <c r="G57" s="191"/>
      <c r="H57" s="195" t="s">
        <v>90</v>
      </c>
      <c r="I57" s="196"/>
      <c r="J57" s="196"/>
      <c r="K57" s="196"/>
      <c r="L57" s="196"/>
      <c r="M57" s="196"/>
      <c r="N57" s="196"/>
      <c r="O57" s="196"/>
      <c r="P57" s="197"/>
      <c r="Q57" s="201" t="s">
        <v>97</v>
      </c>
      <c r="R57" s="202"/>
      <c r="S57" s="202"/>
      <c r="T57" s="202"/>
      <c r="U57" s="202"/>
      <c r="V57" s="202"/>
      <c r="W57" s="203"/>
      <c r="X57" s="207" t="s">
        <v>40</v>
      </c>
      <c r="Y57" s="208"/>
      <c r="Z57" s="211" t="s">
        <v>45</v>
      </c>
      <c r="AA57" s="212"/>
      <c r="AB57" s="213"/>
      <c r="AC57" s="211" t="s">
        <v>45</v>
      </c>
      <c r="AD57" s="213"/>
      <c r="AE57" s="217"/>
      <c r="AF57" s="218"/>
      <c r="AG57" s="218"/>
      <c r="AH57" s="218"/>
      <c r="AI57" s="218"/>
      <c r="AJ57" s="218"/>
      <c r="AK57" s="219"/>
      <c r="AL57" s="73"/>
    </row>
    <row r="58" spans="1:38" s="48" customFormat="1" ht="13.5" customHeight="1">
      <c r="A58" s="72"/>
      <c r="B58" s="64"/>
      <c r="C58" s="192"/>
      <c r="D58" s="193"/>
      <c r="E58" s="193"/>
      <c r="F58" s="193"/>
      <c r="G58" s="194"/>
      <c r="H58" s="198"/>
      <c r="I58" s="199"/>
      <c r="J58" s="199"/>
      <c r="K58" s="199"/>
      <c r="L58" s="199"/>
      <c r="M58" s="199"/>
      <c r="N58" s="199"/>
      <c r="O58" s="199"/>
      <c r="P58" s="200"/>
      <c r="Q58" s="204"/>
      <c r="R58" s="205"/>
      <c r="S58" s="205"/>
      <c r="T58" s="205"/>
      <c r="U58" s="205"/>
      <c r="V58" s="205"/>
      <c r="W58" s="206"/>
      <c r="X58" s="209"/>
      <c r="Y58" s="210"/>
      <c r="Z58" s="214"/>
      <c r="AA58" s="215"/>
      <c r="AB58" s="216"/>
      <c r="AC58" s="214"/>
      <c r="AD58" s="216"/>
      <c r="AE58" s="220"/>
      <c r="AF58" s="221"/>
      <c r="AG58" s="221"/>
      <c r="AH58" s="221"/>
      <c r="AI58" s="221"/>
      <c r="AJ58" s="221"/>
      <c r="AK58" s="222"/>
      <c r="AL58" s="73"/>
    </row>
    <row r="59" spans="1:38" s="48" customFormat="1" ht="13.5" customHeight="1">
      <c r="A59" s="72"/>
      <c r="B59" s="63">
        <f t="shared" ref="B59" si="10">B57+1</f>
        <v>18</v>
      </c>
      <c r="C59" s="189" t="str">
        <f>"項目"&amp;DBCS(B59)&amp;"名称"</f>
        <v>項目18名称</v>
      </c>
      <c r="D59" s="190"/>
      <c r="E59" s="190"/>
      <c r="F59" s="190"/>
      <c r="G59" s="191"/>
      <c r="H59" s="195" t="s">
        <v>90</v>
      </c>
      <c r="I59" s="196"/>
      <c r="J59" s="196"/>
      <c r="K59" s="196"/>
      <c r="L59" s="196"/>
      <c r="M59" s="196"/>
      <c r="N59" s="196"/>
      <c r="O59" s="196"/>
      <c r="P59" s="197"/>
      <c r="Q59" s="201" t="s">
        <v>98</v>
      </c>
      <c r="R59" s="202"/>
      <c r="S59" s="202"/>
      <c r="T59" s="202"/>
      <c r="U59" s="202"/>
      <c r="V59" s="202"/>
      <c r="W59" s="203"/>
      <c r="X59" s="207" t="s">
        <v>40</v>
      </c>
      <c r="Y59" s="208"/>
      <c r="Z59" s="211" t="s">
        <v>45</v>
      </c>
      <c r="AA59" s="212"/>
      <c r="AB59" s="213"/>
      <c r="AC59" s="211" t="s">
        <v>45</v>
      </c>
      <c r="AD59" s="213"/>
      <c r="AE59" s="217"/>
      <c r="AF59" s="218"/>
      <c r="AG59" s="218"/>
      <c r="AH59" s="218"/>
      <c r="AI59" s="218"/>
      <c r="AJ59" s="218"/>
      <c r="AK59" s="219"/>
      <c r="AL59" s="73"/>
    </row>
    <row r="60" spans="1:38" s="48" customFormat="1" ht="13.5" customHeight="1">
      <c r="A60" s="72"/>
      <c r="B60" s="64"/>
      <c r="C60" s="192"/>
      <c r="D60" s="193"/>
      <c r="E60" s="193"/>
      <c r="F60" s="193"/>
      <c r="G60" s="194"/>
      <c r="H60" s="198"/>
      <c r="I60" s="199"/>
      <c r="J60" s="199"/>
      <c r="K60" s="199"/>
      <c r="L60" s="199"/>
      <c r="M60" s="199"/>
      <c r="N60" s="199"/>
      <c r="O60" s="199"/>
      <c r="P60" s="200"/>
      <c r="Q60" s="204"/>
      <c r="R60" s="205"/>
      <c r="S60" s="205"/>
      <c r="T60" s="205"/>
      <c r="U60" s="205"/>
      <c r="V60" s="205"/>
      <c r="W60" s="206"/>
      <c r="X60" s="209"/>
      <c r="Y60" s="210"/>
      <c r="Z60" s="214"/>
      <c r="AA60" s="215"/>
      <c r="AB60" s="216"/>
      <c r="AC60" s="214"/>
      <c r="AD60" s="216"/>
      <c r="AE60" s="220"/>
      <c r="AF60" s="221"/>
      <c r="AG60" s="221"/>
      <c r="AH60" s="221"/>
      <c r="AI60" s="221"/>
      <c r="AJ60" s="221"/>
      <c r="AK60" s="222"/>
      <c r="AL60" s="73"/>
    </row>
    <row r="61" spans="1:38" s="48" customFormat="1" ht="13.5" customHeight="1">
      <c r="A61" s="72"/>
      <c r="B61" s="63">
        <f t="shared" ref="B61:B77" si="11">B59+1</f>
        <v>19</v>
      </c>
      <c r="C61" s="189" t="str">
        <f>"項目"&amp;DBCS(B61)&amp;"名称"</f>
        <v>項目19名称</v>
      </c>
      <c r="D61" s="190"/>
      <c r="E61" s="190"/>
      <c r="F61" s="190"/>
      <c r="G61" s="191"/>
      <c r="H61" s="195" t="s">
        <v>90</v>
      </c>
      <c r="I61" s="196"/>
      <c r="J61" s="196"/>
      <c r="K61" s="196"/>
      <c r="L61" s="196"/>
      <c r="M61" s="196"/>
      <c r="N61" s="196"/>
      <c r="O61" s="196"/>
      <c r="P61" s="197"/>
      <c r="Q61" s="201" t="s">
        <v>107</v>
      </c>
      <c r="R61" s="202"/>
      <c r="S61" s="202"/>
      <c r="T61" s="202"/>
      <c r="U61" s="202"/>
      <c r="V61" s="202"/>
      <c r="W61" s="203"/>
      <c r="X61" s="207" t="s">
        <v>40</v>
      </c>
      <c r="Y61" s="208"/>
      <c r="Z61" s="211" t="s">
        <v>45</v>
      </c>
      <c r="AA61" s="212"/>
      <c r="AB61" s="213"/>
      <c r="AC61" s="211" t="s">
        <v>45</v>
      </c>
      <c r="AD61" s="213"/>
      <c r="AE61" s="217"/>
      <c r="AF61" s="218"/>
      <c r="AG61" s="218"/>
      <c r="AH61" s="218"/>
      <c r="AI61" s="218"/>
      <c r="AJ61" s="218"/>
      <c r="AK61" s="219"/>
      <c r="AL61" s="73"/>
    </row>
    <row r="62" spans="1:38" s="48" customFormat="1" ht="13.5" customHeight="1">
      <c r="A62" s="72"/>
      <c r="B62" s="64"/>
      <c r="C62" s="192"/>
      <c r="D62" s="193"/>
      <c r="E62" s="193"/>
      <c r="F62" s="193"/>
      <c r="G62" s="194"/>
      <c r="H62" s="198"/>
      <c r="I62" s="199"/>
      <c r="J62" s="199"/>
      <c r="K62" s="199"/>
      <c r="L62" s="199"/>
      <c r="M62" s="199"/>
      <c r="N62" s="199"/>
      <c r="O62" s="199"/>
      <c r="P62" s="200"/>
      <c r="Q62" s="204"/>
      <c r="R62" s="205"/>
      <c r="S62" s="205"/>
      <c r="T62" s="205"/>
      <c r="U62" s="205"/>
      <c r="V62" s="205"/>
      <c r="W62" s="206"/>
      <c r="X62" s="209"/>
      <c r="Y62" s="210"/>
      <c r="Z62" s="214"/>
      <c r="AA62" s="215"/>
      <c r="AB62" s="216"/>
      <c r="AC62" s="214"/>
      <c r="AD62" s="216"/>
      <c r="AE62" s="220"/>
      <c r="AF62" s="221"/>
      <c r="AG62" s="221"/>
      <c r="AH62" s="221"/>
      <c r="AI62" s="221"/>
      <c r="AJ62" s="221"/>
      <c r="AK62" s="222"/>
      <c r="AL62" s="73"/>
    </row>
    <row r="63" spans="1:38" s="48" customFormat="1" ht="13.5" customHeight="1">
      <c r="A63" s="72"/>
      <c r="B63" s="63">
        <f t="shared" si="11"/>
        <v>20</v>
      </c>
      <c r="C63" s="189" t="str">
        <f>"項目"&amp;DBCS(B63)&amp;"名称"</f>
        <v>項目20名称</v>
      </c>
      <c r="D63" s="190"/>
      <c r="E63" s="190"/>
      <c r="F63" s="190"/>
      <c r="G63" s="191"/>
      <c r="H63" s="195" t="s">
        <v>90</v>
      </c>
      <c r="I63" s="196"/>
      <c r="J63" s="196"/>
      <c r="K63" s="196"/>
      <c r="L63" s="196"/>
      <c r="M63" s="196"/>
      <c r="N63" s="196"/>
      <c r="O63" s="196"/>
      <c r="P63" s="197"/>
      <c r="Q63" s="201" t="s">
        <v>108</v>
      </c>
      <c r="R63" s="202"/>
      <c r="S63" s="202"/>
      <c r="T63" s="202"/>
      <c r="U63" s="202"/>
      <c r="V63" s="202"/>
      <c r="W63" s="203"/>
      <c r="X63" s="207" t="s">
        <v>40</v>
      </c>
      <c r="Y63" s="208"/>
      <c r="Z63" s="211" t="s">
        <v>28</v>
      </c>
      <c r="AA63" s="212"/>
      <c r="AB63" s="213"/>
      <c r="AC63" s="211" t="s">
        <v>28</v>
      </c>
      <c r="AD63" s="213"/>
      <c r="AE63" s="217"/>
      <c r="AF63" s="218"/>
      <c r="AG63" s="218"/>
      <c r="AH63" s="218"/>
      <c r="AI63" s="218"/>
      <c r="AJ63" s="218"/>
      <c r="AK63" s="219"/>
      <c r="AL63" s="73"/>
    </row>
    <row r="64" spans="1:38" s="48" customFormat="1" ht="13.5" customHeight="1">
      <c r="A64" s="72"/>
      <c r="B64" s="64"/>
      <c r="C64" s="192"/>
      <c r="D64" s="193"/>
      <c r="E64" s="193"/>
      <c r="F64" s="193"/>
      <c r="G64" s="194"/>
      <c r="H64" s="198"/>
      <c r="I64" s="199"/>
      <c r="J64" s="199"/>
      <c r="K64" s="199"/>
      <c r="L64" s="199"/>
      <c r="M64" s="199"/>
      <c r="N64" s="199"/>
      <c r="O64" s="199"/>
      <c r="P64" s="200"/>
      <c r="Q64" s="204"/>
      <c r="R64" s="205"/>
      <c r="S64" s="205"/>
      <c r="T64" s="205"/>
      <c r="U64" s="205"/>
      <c r="V64" s="205"/>
      <c r="W64" s="206"/>
      <c r="X64" s="209"/>
      <c r="Y64" s="210"/>
      <c r="Z64" s="214"/>
      <c r="AA64" s="215"/>
      <c r="AB64" s="216"/>
      <c r="AC64" s="214"/>
      <c r="AD64" s="216"/>
      <c r="AE64" s="220"/>
      <c r="AF64" s="221"/>
      <c r="AG64" s="221"/>
      <c r="AH64" s="221"/>
      <c r="AI64" s="221"/>
      <c r="AJ64" s="221"/>
      <c r="AK64" s="222"/>
      <c r="AL64" s="73"/>
    </row>
    <row r="65" spans="1:38" s="48" customFormat="1" ht="13.5" customHeight="1">
      <c r="A65" s="72"/>
      <c r="B65" s="63">
        <f t="shared" si="11"/>
        <v>21</v>
      </c>
      <c r="C65" s="189" t="str">
        <f>"項目"&amp;DBCS(B65)&amp;"名称"</f>
        <v>項目21名称</v>
      </c>
      <c r="D65" s="190"/>
      <c r="E65" s="190"/>
      <c r="F65" s="190"/>
      <c r="G65" s="191"/>
      <c r="H65" s="195" t="s">
        <v>90</v>
      </c>
      <c r="I65" s="196"/>
      <c r="J65" s="196"/>
      <c r="K65" s="196"/>
      <c r="L65" s="196"/>
      <c r="M65" s="196"/>
      <c r="N65" s="196"/>
      <c r="O65" s="196"/>
      <c r="P65" s="197"/>
      <c r="Q65" s="201" t="s">
        <v>109</v>
      </c>
      <c r="R65" s="202"/>
      <c r="S65" s="202"/>
      <c r="T65" s="202"/>
      <c r="U65" s="202"/>
      <c r="V65" s="202"/>
      <c r="W65" s="203"/>
      <c r="X65" s="207" t="s">
        <v>40</v>
      </c>
      <c r="Y65" s="208"/>
      <c r="Z65" s="211" t="s">
        <v>28</v>
      </c>
      <c r="AA65" s="212"/>
      <c r="AB65" s="213"/>
      <c r="AC65" s="211" t="s">
        <v>28</v>
      </c>
      <c r="AD65" s="213"/>
      <c r="AE65" s="217"/>
      <c r="AF65" s="218"/>
      <c r="AG65" s="218"/>
      <c r="AH65" s="218"/>
      <c r="AI65" s="218"/>
      <c r="AJ65" s="218"/>
      <c r="AK65" s="219"/>
      <c r="AL65" s="73"/>
    </row>
    <row r="66" spans="1:38" s="48" customFormat="1" ht="13.5" customHeight="1">
      <c r="A66" s="72"/>
      <c r="B66" s="64"/>
      <c r="C66" s="192"/>
      <c r="D66" s="193"/>
      <c r="E66" s="193"/>
      <c r="F66" s="193"/>
      <c r="G66" s="194"/>
      <c r="H66" s="198"/>
      <c r="I66" s="199"/>
      <c r="J66" s="199"/>
      <c r="K66" s="199"/>
      <c r="L66" s="199"/>
      <c r="M66" s="199"/>
      <c r="N66" s="199"/>
      <c r="O66" s="199"/>
      <c r="P66" s="200"/>
      <c r="Q66" s="204"/>
      <c r="R66" s="205"/>
      <c r="S66" s="205"/>
      <c r="T66" s="205"/>
      <c r="U66" s="205"/>
      <c r="V66" s="205"/>
      <c r="W66" s="206"/>
      <c r="X66" s="209"/>
      <c r="Y66" s="210"/>
      <c r="Z66" s="214"/>
      <c r="AA66" s="215"/>
      <c r="AB66" s="216"/>
      <c r="AC66" s="214"/>
      <c r="AD66" s="216"/>
      <c r="AE66" s="220"/>
      <c r="AF66" s="221"/>
      <c r="AG66" s="221"/>
      <c r="AH66" s="221"/>
      <c r="AI66" s="221"/>
      <c r="AJ66" s="221"/>
      <c r="AK66" s="222"/>
      <c r="AL66" s="73"/>
    </row>
    <row r="67" spans="1:38" s="48" customFormat="1" ht="13.5" customHeight="1">
      <c r="A67" s="72"/>
      <c r="B67" s="63">
        <f t="shared" si="11"/>
        <v>22</v>
      </c>
      <c r="C67" s="189" t="str">
        <f>"項目"&amp;DBCS(B67)&amp;"名称"</f>
        <v>項目22名称</v>
      </c>
      <c r="D67" s="190"/>
      <c r="E67" s="190"/>
      <c r="F67" s="190"/>
      <c r="G67" s="191"/>
      <c r="H67" s="195" t="s">
        <v>90</v>
      </c>
      <c r="I67" s="196"/>
      <c r="J67" s="196"/>
      <c r="K67" s="196"/>
      <c r="L67" s="196"/>
      <c r="M67" s="196"/>
      <c r="N67" s="196"/>
      <c r="O67" s="196"/>
      <c r="P67" s="197"/>
      <c r="Q67" s="201" t="s">
        <v>110</v>
      </c>
      <c r="R67" s="202"/>
      <c r="S67" s="202"/>
      <c r="T67" s="202"/>
      <c r="U67" s="202"/>
      <c r="V67" s="202"/>
      <c r="W67" s="203"/>
      <c r="X67" s="207" t="s">
        <v>40</v>
      </c>
      <c r="Y67" s="208"/>
      <c r="Z67" s="211" t="s">
        <v>28</v>
      </c>
      <c r="AA67" s="212"/>
      <c r="AB67" s="213"/>
      <c r="AC67" s="211" t="s">
        <v>28</v>
      </c>
      <c r="AD67" s="213"/>
      <c r="AE67" s="217"/>
      <c r="AF67" s="218"/>
      <c r="AG67" s="218"/>
      <c r="AH67" s="218"/>
      <c r="AI67" s="218"/>
      <c r="AJ67" s="218"/>
      <c r="AK67" s="219"/>
      <c r="AL67" s="73"/>
    </row>
    <row r="68" spans="1:38" s="48" customFormat="1" ht="13.5" customHeight="1">
      <c r="A68" s="72"/>
      <c r="B68" s="64"/>
      <c r="C68" s="192"/>
      <c r="D68" s="193"/>
      <c r="E68" s="193"/>
      <c r="F68" s="193"/>
      <c r="G68" s="194"/>
      <c r="H68" s="198"/>
      <c r="I68" s="199"/>
      <c r="J68" s="199"/>
      <c r="K68" s="199"/>
      <c r="L68" s="199"/>
      <c r="M68" s="199"/>
      <c r="N68" s="199"/>
      <c r="O68" s="199"/>
      <c r="P68" s="200"/>
      <c r="Q68" s="204"/>
      <c r="R68" s="205"/>
      <c r="S68" s="205"/>
      <c r="T68" s="205"/>
      <c r="U68" s="205"/>
      <c r="V68" s="205"/>
      <c r="W68" s="206"/>
      <c r="X68" s="209"/>
      <c r="Y68" s="210"/>
      <c r="Z68" s="214"/>
      <c r="AA68" s="215"/>
      <c r="AB68" s="216"/>
      <c r="AC68" s="214"/>
      <c r="AD68" s="216"/>
      <c r="AE68" s="220"/>
      <c r="AF68" s="221"/>
      <c r="AG68" s="221"/>
      <c r="AH68" s="221"/>
      <c r="AI68" s="221"/>
      <c r="AJ68" s="221"/>
      <c r="AK68" s="222"/>
      <c r="AL68" s="73"/>
    </row>
    <row r="69" spans="1:38" s="48" customFormat="1" ht="13.5" customHeight="1">
      <c r="A69" s="72"/>
      <c r="B69" s="136">
        <f t="shared" si="11"/>
        <v>23</v>
      </c>
      <c r="C69" s="155" t="str">
        <f>"項目"&amp;DBCS(B69)&amp;"名称"</f>
        <v>項目23名称</v>
      </c>
      <c r="D69" s="156"/>
      <c r="E69" s="156"/>
      <c r="F69" s="156"/>
      <c r="G69" s="157"/>
      <c r="H69" s="161" t="s">
        <v>90</v>
      </c>
      <c r="I69" s="162"/>
      <c r="J69" s="162"/>
      <c r="K69" s="162"/>
      <c r="L69" s="162"/>
      <c r="M69" s="162"/>
      <c r="N69" s="162"/>
      <c r="O69" s="162"/>
      <c r="P69" s="163"/>
      <c r="Q69" s="167" t="s">
        <v>212</v>
      </c>
      <c r="R69" s="168"/>
      <c r="S69" s="168"/>
      <c r="T69" s="168"/>
      <c r="U69" s="168"/>
      <c r="V69" s="168"/>
      <c r="W69" s="169"/>
      <c r="X69" s="173" t="s">
        <v>40</v>
      </c>
      <c r="Y69" s="174"/>
      <c r="Z69" s="177" t="s">
        <v>28</v>
      </c>
      <c r="AA69" s="178"/>
      <c r="AB69" s="179"/>
      <c r="AC69" s="177" t="s">
        <v>28</v>
      </c>
      <c r="AD69" s="179"/>
      <c r="AE69" s="183"/>
      <c r="AF69" s="184"/>
      <c r="AG69" s="184"/>
      <c r="AH69" s="184"/>
      <c r="AI69" s="184"/>
      <c r="AJ69" s="184"/>
      <c r="AK69" s="185"/>
      <c r="AL69" s="73"/>
    </row>
    <row r="70" spans="1:38" s="48" customFormat="1" ht="13.5" customHeight="1">
      <c r="A70" s="72"/>
      <c r="B70" s="137"/>
      <c r="C70" s="158"/>
      <c r="D70" s="159"/>
      <c r="E70" s="159"/>
      <c r="F70" s="159"/>
      <c r="G70" s="160"/>
      <c r="H70" s="164"/>
      <c r="I70" s="165"/>
      <c r="J70" s="165"/>
      <c r="K70" s="165"/>
      <c r="L70" s="165"/>
      <c r="M70" s="165"/>
      <c r="N70" s="165"/>
      <c r="O70" s="165"/>
      <c r="P70" s="166"/>
      <c r="Q70" s="170"/>
      <c r="R70" s="171"/>
      <c r="S70" s="171"/>
      <c r="T70" s="171"/>
      <c r="U70" s="171"/>
      <c r="V70" s="171"/>
      <c r="W70" s="172"/>
      <c r="X70" s="175"/>
      <c r="Y70" s="176"/>
      <c r="Z70" s="180"/>
      <c r="AA70" s="181"/>
      <c r="AB70" s="182"/>
      <c r="AC70" s="180"/>
      <c r="AD70" s="182"/>
      <c r="AE70" s="186"/>
      <c r="AF70" s="187"/>
      <c r="AG70" s="187"/>
      <c r="AH70" s="187"/>
      <c r="AI70" s="187"/>
      <c r="AJ70" s="187"/>
      <c r="AK70" s="188"/>
      <c r="AL70" s="73"/>
    </row>
    <row r="71" spans="1:38" s="48" customFormat="1" ht="13.5" customHeight="1">
      <c r="A71" s="72"/>
      <c r="B71" s="63">
        <f>B69+1</f>
        <v>24</v>
      </c>
      <c r="C71" s="189" t="str">
        <f>"項目"&amp;DBCS(B71)&amp;"名称"</f>
        <v>項目24名称</v>
      </c>
      <c r="D71" s="190"/>
      <c r="E71" s="190"/>
      <c r="F71" s="190"/>
      <c r="G71" s="191"/>
      <c r="H71" s="195" t="s">
        <v>90</v>
      </c>
      <c r="I71" s="196"/>
      <c r="J71" s="196"/>
      <c r="K71" s="196"/>
      <c r="L71" s="196"/>
      <c r="M71" s="196"/>
      <c r="N71" s="196"/>
      <c r="O71" s="196"/>
      <c r="P71" s="197"/>
      <c r="Q71" s="201" t="s">
        <v>111</v>
      </c>
      <c r="R71" s="202"/>
      <c r="S71" s="202"/>
      <c r="T71" s="202"/>
      <c r="U71" s="202"/>
      <c r="V71" s="202"/>
      <c r="W71" s="203"/>
      <c r="X71" s="207" t="s">
        <v>40</v>
      </c>
      <c r="Y71" s="208"/>
      <c r="Z71" s="211" t="s">
        <v>28</v>
      </c>
      <c r="AA71" s="212"/>
      <c r="AB71" s="213"/>
      <c r="AC71" s="211" t="s">
        <v>28</v>
      </c>
      <c r="AD71" s="213"/>
      <c r="AE71" s="217"/>
      <c r="AF71" s="218"/>
      <c r="AG71" s="218"/>
      <c r="AH71" s="218"/>
      <c r="AI71" s="218"/>
      <c r="AJ71" s="218"/>
      <c r="AK71" s="219"/>
      <c r="AL71" s="73"/>
    </row>
    <row r="72" spans="1:38" s="48" customFormat="1" ht="13.5" customHeight="1">
      <c r="A72" s="72"/>
      <c r="B72" s="64"/>
      <c r="C72" s="192"/>
      <c r="D72" s="193"/>
      <c r="E72" s="193"/>
      <c r="F72" s="193"/>
      <c r="G72" s="194"/>
      <c r="H72" s="198"/>
      <c r="I72" s="199"/>
      <c r="J72" s="199"/>
      <c r="K72" s="199"/>
      <c r="L72" s="199"/>
      <c r="M72" s="199"/>
      <c r="N72" s="199"/>
      <c r="O72" s="199"/>
      <c r="P72" s="200"/>
      <c r="Q72" s="204"/>
      <c r="R72" s="205"/>
      <c r="S72" s="205"/>
      <c r="T72" s="205"/>
      <c r="U72" s="205"/>
      <c r="V72" s="205"/>
      <c r="W72" s="206"/>
      <c r="X72" s="209"/>
      <c r="Y72" s="210"/>
      <c r="Z72" s="214"/>
      <c r="AA72" s="215"/>
      <c r="AB72" s="216"/>
      <c r="AC72" s="214"/>
      <c r="AD72" s="216"/>
      <c r="AE72" s="220"/>
      <c r="AF72" s="221"/>
      <c r="AG72" s="221"/>
      <c r="AH72" s="221"/>
      <c r="AI72" s="221"/>
      <c r="AJ72" s="221"/>
      <c r="AK72" s="222"/>
      <c r="AL72" s="73"/>
    </row>
    <row r="73" spans="1:38" s="48" customFormat="1" ht="13.5" customHeight="1">
      <c r="A73" s="72"/>
      <c r="B73" s="63">
        <f t="shared" si="11"/>
        <v>25</v>
      </c>
      <c r="C73" s="189" t="str">
        <f>"項目"&amp;DBCS(B73)&amp;"名称"</f>
        <v>項目25名称</v>
      </c>
      <c r="D73" s="190"/>
      <c r="E73" s="190"/>
      <c r="F73" s="190"/>
      <c r="G73" s="191"/>
      <c r="H73" s="195" t="s">
        <v>90</v>
      </c>
      <c r="I73" s="196"/>
      <c r="J73" s="196"/>
      <c r="K73" s="196"/>
      <c r="L73" s="196"/>
      <c r="M73" s="196"/>
      <c r="N73" s="196"/>
      <c r="O73" s="196"/>
      <c r="P73" s="197"/>
      <c r="Q73" s="201" t="s">
        <v>112</v>
      </c>
      <c r="R73" s="202"/>
      <c r="S73" s="202"/>
      <c r="T73" s="202"/>
      <c r="U73" s="202"/>
      <c r="V73" s="202"/>
      <c r="W73" s="203"/>
      <c r="X73" s="207" t="s">
        <v>40</v>
      </c>
      <c r="Y73" s="208"/>
      <c r="Z73" s="211" t="s">
        <v>28</v>
      </c>
      <c r="AA73" s="212"/>
      <c r="AB73" s="213"/>
      <c r="AC73" s="211" t="s">
        <v>28</v>
      </c>
      <c r="AD73" s="213"/>
      <c r="AE73" s="217"/>
      <c r="AF73" s="218"/>
      <c r="AG73" s="218"/>
      <c r="AH73" s="218"/>
      <c r="AI73" s="218"/>
      <c r="AJ73" s="218"/>
      <c r="AK73" s="219"/>
      <c r="AL73" s="73"/>
    </row>
    <row r="74" spans="1:38" s="48" customFormat="1" ht="13.5" customHeight="1">
      <c r="A74" s="72"/>
      <c r="B74" s="64"/>
      <c r="C74" s="192"/>
      <c r="D74" s="193"/>
      <c r="E74" s="193"/>
      <c r="F74" s="193"/>
      <c r="G74" s="194"/>
      <c r="H74" s="198"/>
      <c r="I74" s="199"/>
      <c r="J74" s="199"/>
      <c r="K74" s="199"/>
      <c r="L74" s="199"/>
      <c r="M74" s="199"/>
      <c r="N74" s="199"/>
      <c r="O74" s="199"/>
      <c r="P74" s="200"/>
      <c r="Q74" s="204"/>
      <c r="R74" s="205"/>
      <c r="S74" s="205"/>
      <c r="T74" s="205"/>
      <c r="U74" s="205"/>
      <c r="V74" s="205"/>
      <c r="W74" s="206"/>
      <c r="X74" s="209"/>
      <c r="Y74" s="210"/>
      <c r="Z74" s="214"/>
      <c r="AA74" s="215"/>
      <c r="AB74" s="216"/>
      <c r="AC74" s="214"/>
      <c r="AD74" s="216"/>
      <c r="AE74" s="220"/>
      <c r="AF74" s="221"/>
      <c r="AG74" s="221"/>
      <c r="AH74" s="221"/>
      <c r="AI74" s="221"/>
      <c r="AJ74" s="221"/>
      <c r="AK74" s="222"/>
      <c r="AL74" s="73"/>
    </row>
    <row r="75" spans="1:38" s="48" customFormat="1" ht="13.5" customHeight="1">
      <c r="A75" s="72"/>
      <c r="B75" s="63">
        <f t="shared" si="11"/>
        <v>26</v>
      </c>
      <c r="C75" s="189" t="str">
        <f>"項目"&amp;DBCS(B75)&amp;"名称"</f>
        <v>項目26名称</v>
      </c>
      <c r="D75" s="190"/>
      <c r="E75" s="190"/>
      <c r="F75" s="190"/>
      <c r="G75" s="191"/>
      <c r="H75" s="195" t="s">
        <v>90</v>
      </c>
      <c r="I75" s="196"/>
      <c r="J75" s="196"/>
      <c r="K75" s="196"/>
      <c r="L75" s="196"/>
      <c r="M75" s="196"/>
      <c r="N75" s="196"/>
      <c r="O75" s="196"/>
      <c r="P75" s="197"/>
      <c r="Q75" s="201" t="s">
        <v>113</v>
      </c>
      <c r="R75" s="202"/>
      <c r="S75" s="202"/>
      <c r="T75" s="202"/>
      <c r="U75" s="202"/>
      <c r="V75" s="202"/>
      <c r="W75" s="203"/>
      <c r="X75" s="207" t="s">
        <v>40</v>
      </c>
      <c r="Y75" s="208"/>
      <c r="Z75" s="211" t="s">
        <v>28</v>
      </c>
      <c r="AA75" s="212"/>
      <c r="AB75" s="213"/>
      <c r="AC75" s="211" t="s">
        <v>28</v>
      </c>
      <c r="AD75" s="213"/>
      <c r="AE75" s="217"/>
      <c r="AF75" s="218"/>
      <c r="AG75" s="218"/>
      <c r="AH75" s="218"/>
      <c r="AI75" s="218"/>
      <c r="AJ75" s="218"/>
      <c r="AK75" s="219"/>
      <c r="AL75" s="73"/>
    </row>
    <row r="76" spans="1:38" s="48" customFormat="1" ht="13.5" customHeight="1">
      <c r="A76" s="72"/>
      <c r="B76" s="64"/>
      <c r="C76" s="192"/>
      <c r="D76" s="193"/>
      <c r="E76" s="193"/>
      <c r="F76" s="193"/>
      <c r="G76" s="194"/>
      <c r="H76" s="198"/>
      <c r="I76" s="199"/>
      <c r="J76" s="199"/>
      <c r="K76" s="199"/>
      <c r="L76" s="199"/>
      <c r="M76" s="199"/>
      <c r="N76" s="199"/>
      <c r="O76" s="199"/>
      <c r="P76" s="200"/>
      <c r="Q76" s="204"/>
      <c r="R76" s="205"/>
      <c r="S76" s="205"/>
      <c r="T76" s="205"/>
      <c r="U76" s="205"/>
      <c r="V76" s="205"/>
      <c r="W76" s="206"/>
      <c r="X76" s="209"/>
      <c r="Y76" s="210"/>
      <c r="Z76" s="214"/>
      <c r="AA76" s="215"/>
      <c r="AB76" s="216"/>
      <c r="AC76" s="214"/>
      <c r="AD76" s="216"/>
      <c r="AE76" s="220"/>
      <c r="AF76" s="221"/>
      <c r="AG76" s="221"/>
      <c r="AH76" s="221"/>
      <c r="AI76" s="221"/>
      <c r="AJ76" s="221"/>
      <c r="AK76" s="222"/>
      <c r="AL76" s="73"/>
    </row>
    <row r="77" spans="1:38" s="48" customFormat="1" ht="13.5" customHeight="1">
      <c r="A77" s="72"/>
      <c r="B77" s="63">
        <f t="shared" si="11"/>
        <v>27</v>
      </c>
      <c r="C77" s="189" t="str">
        <f>"項目"&amp;DBCS(B77)&amp;"名称"</f>
        <v>項目27名称</v>
      </c>
      <c r="D77" s="190"/>
      <c r="E77" s="190"/>
      <c r="F77" s="190"/>
      <c r="G77" s="191"/>
      <c r="H77" s="195" t="s">
        <v>90</v>
      </c>
      <c r="I77" s="196"/>
      <c r="J77" s="196"/>
      <c r="K77" s="196"/>
      <c r="L77" s="196"/>
      <c r="M77" s="196"/>
      <c r="N77" s="196"/>
      <c r="O77" s="196"/>
      <c r="P77" s="197"/>
      <c r="Q77" s="201" t="s">
        <v>114</v>
      </c>
      <c r="R77" s="202"/>
      <c r="S77" s="202"/>
      <c r="T77" s="202"/>
      <c r="U77" s="202"/>
      <c r="V77" s="202"/>
      <c r="W77" s="203"/>
      <c r="X77" s="207" t="s">
        <v>40</v>
      </c>
      <c r="Y77" s="208"/>
      <c r="Z77" s="211" t="s">
        <v>28</v>
      </c>
      <c r="AA77" s="212"/>
      <c r="AB77" s="213"/>
      <c r="AC77" s="211" t="s">
        <v>28</v>
      </c>
      <c r="AD77" s="213"/>
      <c r="AE77" s="217"/>
      <c r="AF77" s="218"/>
      <c r="AG77" s="218"/>
      <c r="AH77" s="218"/>
      <c r="AI77" s="218"/>
      <c r="AJ77" s="218"/>
      <c r="AK77" s="219"/>
      <c r="AL77" s="73"/>
    </row>
    <row r="78" spans="1:38" s="48" customFormat="1" ht="13.5" customHeight="1">
      <c r="A78" s="72"/>
      <c r="B78" s="64"/>
      <c r="C78" s="192"/>
      <c r="D78" s="193"/>
      <c r="E78" s="193"/>
      <c r="F78" s="193"/>
      <c r="G78" s="194"/>
      <c r="H78" s="198"/>
      <c r="I78" s="199"/>
      <c r="J78" s="199"/>
      <c r="K78" s="199"/>
      <c r="L78" s="199"/>
      <c r="M78" s="199"/>
      <c r="N78" s="199"/>
      <c r="O78" s="199"/>
      <c r="P78" s="200"/>
      <c r="Q78" s="204"/>
      <c r="R78" s="205"/>
      <c r="S78" s="205"/>
      <c r="T78" s="205"/>
      <c r="U78" s="205"/>
      <c r="V78" s="205"/>
      <c r="W78" s="206"/>
      <c r="X78" s="209"/>
      <c r="Y78" s="210"/>
      <c r="Z78" s="214"/>
      <c r="AA78" s="215"/>
      <c r="AB78" s="216"/>
      <c r="AC78" s="214"/>
      <c r="AD78" s="216"/>
      <c r="AE78" s="220"/>
      <c r="AF78" s="221"/>
      <c r="AG78" s="221"/>
      <c r="AH78" s="221"/>
      <c r="AI78" s="221"/>
      <c r="AJ78" s="221"/>
      <c r="AK78" s="222"/>
      <c r="AL78" s="73"/>
    </row>
    <row r="79" spans="1:38" s="9" customFormat="1" ht="13.5" customHeight="1">
      <c r="A79" s="74"/>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75"/>
    </row>
    <row r="80" spans="1:38" s="9" customFormat="1" ht="13.5" customHeight="1">
      <c r="A80" s="114"/>
      <c r="B80" s="115"/>
      <c r="C80" s="115"/>
      <c r="D80" s="115"/>
      <c r="E80" s="115"/>
      <c r="F80" s="115"/>
      <c r="G80" s="115"/>
      <c r="H80" s="115"/>
      <c r="I80" s="115"/>
      <c r="J80" s="115"/>
      <c r="K80" s="115"/>
      <c r="L80" s="115"/>
      <c r="M80" s="115"/>
      <c r="N80" s="115"/>
      <c r="O80" s="115"/>
      <c r="P80" s="115"/>
      <c r="Q80" s="115"/>
      <c r="R80" s="115"/>
      <c r="S80" s="115"/>
      <c r="T80" s="115"/>
      <c r="U80" s="115"/>
      <c r="V80" s="115"/>
      <c r="W80" s="115"/>
      <c r="X80" s="115"/>
      <c r="Y80" s="115"/>
      <c r="Z80" s="115"/>
      <c r="AA80" s="115"/>
      <c r="AB80" s="115"/>
      <c r="AC80" s="115"/>
      <c r="AD80" s="115"/>
      <c r="AE80" s="115"/>
      <c r="AF80" s="115"/>
      <c r="AG80" s="115"/>
      <c r="AH80" s="115"/>
      <c r="AI80" s="115"/>
      <c r="AJ80" s="115"/>
      <c r="AK80" s="115"/>
      <c r="AL80" s="116"/>
    </row>
    <row r="81" spans="1:38" s="9" customFormat="1" ht="13.5" customHeight="1">
      <c r="A81" s="118"/>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c r="AA81" s="119"/>
      <c r="AB81" s="119"/>
      <c r="AC81" s="119"/>
      <c r="AD81" s="119"/>
      <c r="AE81" s="119"/>
      <c r="AF81" s="119"/>
      <c r="AG81" s="119"/>
      <c r="AH81" s="119"/>
      <c r="AI81" s="119"/>
      <c r="AJ81" s="119"/>
      <c r="AK81" s="119"/>
      <c r="AL81" s="120"/>
    </row>
    <row r="82" spans="1:38" s="40" customFormat="1" ht="13.5" customHeight="1">
      <c r="A82" s="67"/>
      <c r="B82" s="41" t="s">
        <v>122</v>
      </c>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68"/>
    </row>
    <row r="83" spans="1:38" s="40" customFormat="1" ht="13.5" customHeight="1">
      <c r="A83" s="67"/>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68"/>
    </row>
    <row r="84" spans="1:38" s="40" customFormat="1" ht="13.5" customHeight="1">
      <c r="A84" s="67"/>
      <c r="B84" s="42" t="s">
        <v>29</v>
      </c>
      <c r="C84" s="43" t="s">
        <v>7</v>
      </c>
      <c r="D84" s="44"/>
      <c r="E84" s="45"/>
      <c r="F84" s="45"/>
      <c r="G84" s="46"/>
      <c r="H84" s="44" t="s">
        <v>21</v>
      </c>
      <c r="I84" s="45"/>
      <c r="J84" s="45"/>
      <c r="K84" s="45"/>
      <c r="L84" s="45"/>
      <c r="M84" s="45"/>
      <c r="N84" s="45"/>
      <c r="O84" s="45"/>
      <c r="P84" s="46"/>
      <c r="Q84" s="44" t="s">
        <v>30</v>
      </c>
      <c r="R84" s="45"/>
      <c r="S84" s="45"/>
      <c r="T84" s="45"/>
      <c r="U84" s="45"/>
      <c r="V84" s="46"/>
      <c r="W84" s="46"/>
      <c r="X84" s="44" t="s">
        <v>31</v>
      </c>
      <c r="Y84" s="46"/>
      <c r="Z84" s="44" t="s">
        <v>22</v>
      </c>
      <c r="AA84" s="46"/>
      <c r="AB84" s="44"/>
      <c r="AC84" s="44" t="s">
        <v>32</v>
      </c>
      <c r="AD84" s="47"/>
      <c r="AE84" s="47" t="s">
        <v>35</v>
      </c>
      <c r="AF84" s="45"/>
      <c r="AG84" s="45"/>
      <c r="AH84" s="45"/>
      <c r="AI84" s="45"/>
      <c r="AJ84" s="45"/>
      <c r="AK84" s="46"/>
      <c r="AL84" s="68"/>
    </row>
    <row r="85" spans="1:38" s="48" customFormat="1" ht="13.5" customHeight="1">
      <c r="A85" s="72"/>
      <c r="B85" s="63">
        <f>B77+1</f>
        <v>28</v>
      </c>
      <c r="C85" s="189" t="str">
        <f>"項目"&amp;DBCS(B85)&amp;"名称"</f>
        <v>項目28名称</v>
      </c>
      <c r="D85" s="190"/>
      <c r="E85" s="190"/>
      <c r="F85" s="190"/>
      <c r="G85" s="191"/>
      <c r="H85" s="195" t="s">
        <v>90</v>
      </c>
      <c r="I85" s="196"/>
      <c r="J85" s="196"/>
      <c r="K85" s="196"/>
      <c r="L85" s="196"/>
      <c r="M85" s="196"/>
      <c r="N85" s="196"/>
      <c r="O85" s="196"/>
      <c r="P85" s="197"/>
      <c r="Q85" s="201" t="s">
        <v>115</v>
      </c>
      <c r="R85" s="202"/>
      <c r="S85" s="202"/>
      <c r="T85" s="202"/>
      <c r="U85" s="202"/>
      <c r="V85" s="202"/>
      <c r="W85" s="203"/>
      <c r="X85" s="207" t="s">
        <v>40</v>
      </c>
      <c r="Y85" s="208"/>
      <c r="Z85" s="211" t="s">
        <v>28</v>
      </c>
      <c r="AA85" s="212"/>
      <c r="AB85" s="213"/>
      <c r="AC85" s="211" t="s">
        <v>28</v>
      </c>
      <c r="AD85" s="213"/>
      <c r="AE85" s="217"/>
      <c r="AF85" s="218"/>
      <c r="AG85" s="218"/>
      <c r="AH85" s="218"/>
      <c r="AI85" s="218"/>
      <c r="AJ85" s="218"/>
      <c r="AK85" s="219"/>
      <c r="AL85" s="73"/>
    </row>
    <row r="86" spans="1:38" s="48" customFormat="1" ht="13.5" customHeight="1">
      <c r="A86" s="72"/>
      <c r="B86" s="64"/>
      <c r="C86" s="192"/>
      <c r="D86" s="193"/>
      <c r="E86" s="193"/>
      <c r="F86" s="193"/>
      <c r="G86" s="194"/>
      <c r="H86" s="198"/>
      <c r="I86" s="199"/>
      <c r="J86" s="199"/>
      <c r="K86" s="199"/>
      <c r="L86" s="199"/>
      <c r="M86" s="199"/>
      <c r="N86" s="199"/>
      <c r="O86" s="199"/>
      <c r="P86" s="200"/>
      <c r="Q86" s="204"/>
      <c r="R86" s="205"/>
      <c r="S86" s="205"/>
      <c r="T86" s="205"/>
      <c r="U86" s="205"/>
      <c r="V86" s="205"/>
      <c r="W86" s="206"/>
      <c r="X86" s="209"/>
      <c r="Y86" s="210"/>
      <c r="Z86" s="214"/>
      <c r="AA86" s="215"/>
      <c r="AB86" s="216"/>
      <c r="AC86" s="214"/>
      <c r="AD86" s="216"/>
      <c r="AE86" s="220"/>
      <c r="AF86" s="221"/>
      <c r="AG86" s="221"/>
      <c r="AH86" s="221"/>
      <c r="AI86" s="221"/>
      <c r="AJ86" s="221"/>
      <c r="AK86" s="222"/>
      <c r="AL86" s="73"/>
    </row>
    <row r="87" spans="1:38" s="48" customFormat="1" ht="13.5" customHeight="1">
      <c r="A87" s="72"/>
      <c r="B87" s="63">
        <f>B85+1</f>
        <v>29</v>
      </c>
      <c r="C87" s="189" t="str">
        <f>"項目"&amp;DBCS(B87)&amp;"名称"</f>
        <v>項目29名称</v>
      </c>
      <c r="D87" s="190"/>
      <c r="E87" s="190"/>
      <c r="F87" s="190"/>
      <c r="G87" s="191"/>
      <c r="H87" s="195" t="s">
        <v>90</v>
      </c>
      <c r="I87" s="196"/>
      <c r="J87" s="196"/>
      <c r="K87" s="196"/>
      <c r="L87" s="196"/>
      <c r="M87" s="196"/>
      <c r="N87" s="196"/>
      <c r="O87" s="196"/>
      <c r="P87" s="197"/>
      <c r="Q87" s="201" t="s">
        <v>116</v>
      </c>
      <c r="R87" s="202"/>
      <c r="S87" s="202"/>
      <c r="T87" s="202"/>
      <c r="U87" s="202"/>
      <c r="V87" s="202"/>
      <c r="W87" s="203"/>
      <c r="X87" s="207" t="s">
        <v>40</v>
      </c>
      <c r="Y87" s="208"/>
      <c r="Z87" s="211" t="s">
        <v>28</v>
      </c>
      <c r="AA87" s="212"/>
      <c r="AB87" s="213"/>
      <c r="AC87" s="211" t="s">
        <v>28</v>
      </c>
      <c r="AD87" s="213"/>
      <c r="AE87" s="217"/>
      <c r="AF87" s="218"/>
      <c r="AG87" s="218"/>
      <c r="AH87" s="218"/>
      <c r="AI87" s="218"/>
      <c r="AJ87" s="218"/>
      <c r="AK87" s="219"/>
      <c r="AL87" s="73"/>
    </row>
    <row r="88" spans="1:38" s="48" customFormat="1" ht="13.5" customHeight="1">
      <c r="A88" s="72"/>
      <c r="B88" s="64"/>
      <c r="C88" s="192"/>
      <c r="D88" s="193"/>
      <c r="E88" s="193"/>
      <c r="F88" s="193"/>
      <c r="G88" s="194"/>
      <c r="H88" s="198"/>
      <c r="I88" s="199"/>
      <c r="J88" s="199"/>
      <c r="K88" s="199"/>
      <c r="L88" s="199"/>
      <c r="M88" s="199"/>
      <c r="N88" s="199"/>
      <c r="O88" s="199"/>
      <c r="P88" s="200"/>
      <c r="Q88" s="204"/>
      <c r="R88" s="205"/>
      <c r="S88" s="205"/>
      <c r="T88" s="205"/>
      <c r="U88" s="205"/>
      <c r="V88" s="205"/>
      <c r="W88" s="206"/>
      <c r="X88" s="209"/>
      <c r="Y88" s="210"/>
      <c r="Z88" s="214"/>
      <c r="AA88" s="215"/>
      <c r="AB88" s="216"/>
      <c r="AC88" s="214"/>
      <c r="AD88" s="216"/>
      <c r="AE88" s="220"/>
      <c r="AF88" s="221"/>
      <c r="AG88" s="221"/>
      <c r="AH88" s="221"/>
      <c r="AI88" s="221"/>
      <c r="AJ88" s="221"/>
      <c r="AK88" s="222"/>
      <c r="AL88" s="73"/>
    </row>
    <row r="89" spans="1:38" s="48" customFormat="1" ht="13.5" customHeight="1">
      <c r="A89" s="72"/>
      <c r="B89" s="63">
        <f>B87+1</f>
        <v>30</v>
      </c>
      <c r="C89" s="189" t="str">
        <f>"項目"&amp;DBCS(B89)&amp;"名称"</f>
        <v>項目30名称</v>
      </c>
      <c r="D89" s="190"/>
      <c r="E89" s="190"/>
      <c r="F89" s="190"/>
      <c r="G89" s="191"/>
      <c r="H89" s="195" t="s">
        <v>90</v>
      </c>
      <c r="I89" s="196"/>
      <c r="J89" s="196"/>
      <c r="K89" s="196"/>
      <c r="L89" s="196"/>
      <c r="M89" s="196"/>
      <c r="N89" s="196"/>
      <c r="O89" s="196"/>
      <c r="P89" s="197"/>
      <c r="Q89" s="201" t="s">
        <v>117</v>
      </c>
      <c r="R89" s="202"/>
      <c r="S89" s="202"/>
      <c r="T89" s="202"/>
      <c r="U89" s="202"/>
      <c r="V89" s="202"/>
      <c r="W89" s="203"/>
      <c r="X89" s="207" t="s">
        <v>40</v>
      </c>
      <c r="Y89" s="208"/>
      <c r="Z89" s="211" t="s">
        <v>28</v>
      </c>
      <c r="AA89" s="212"/>
      <c r="AB89" s="213"/>
      <c r="AC89" s="211" t="s">
        <v>28</v>
      </c>
      <c r="AD89" s="213"/>
      <c r="AE89" s="217"/>
      <c r="AF89" s="218"/>
      <c r="AG89" s="218"/>
      <c r="AH89" s="218"/>
      <c r="AI89" s="218"/>
      <c r="AJ89" s="218"/>
      <c r="AK89" s="219"/>
      <c r="AL89" s="73"/>
    </row>
    <row r="90" spans="1:38" s="48" customFormat="1" ht="13.5" customHeight="1">
      <c r="A90" s="72"/>
      <c r="B90" s="64"/>
      <c r="C90" s="192"/>
      <c r="D90" s="193"/>
      <c r="E90" s="193"/>
      <c r="F90" s="193"/>
      <c r="G90" s="194"/>
      <c r="H90" s="198"/>
      <c r="I90" s="199"/>
      <c r="J90" s="199"/>
      <c r="K90" s="199"/>
      <c r="L90" s="199"/>
      <c r="M90" s="199"/>
      <c r="N90" s="199"/>
      <c r="O90" s="199"/>
      <c r="P90" s="200"/>
      <c r="Q90" s="204"/>
      <c r="R90" s="205"/>
      <c r="S90" s="205"/>
      <c r="T90" s="205"/>
      <c r="U90" s="205"/>
      <c r="V90" s="205"/>
      <c r="W90" s="206"/>
      <c r="X90" s="209"/>
      <c r="Y90" s="210"/>
      <c r="Z90" s="214"/>
      <c r="AA90" s="215"/>
      <c r="AB90" s="216"/>
      <c r="AC90" s="214"/>
      <c r="AD90" s="216"/>
      <c r="AE90" s="220"/>
      <c r="AF90" s="221"/>
      <c r="AG90" s="221"/>
      <c r="AH90" s="221"/>
      <c r="AI90" s="221"/>
      <c r="AJ90" s="221"/>
      <c r="AK90" s="222"/>
      <c r="AL90" s="73"/>
    </row>
    <row r="91" spans="1:38" s="48" customFormat="1" ht="13.5" customHeight="1">
      <c r="A91" s="72"/>
      <c r="B91" s="136">
        <f>B89+1</f>
        <v>31</v>
      </c>
      <c r="C91" s="155" t="str">
        <f>"項目"&amp;DBCS(B91)&amp;"名称"</f>
        <v>項目31名称</v>
      </c>
      <c r="D91" s="156"/>
      <c r="E91" s="156"/>
      <c r="F91" s="156"/>
      <c r="G91" s="157"/>
      <c r="H91" s="161" t="s">
        <v>90</v>
      </c>
      <c r="I91" s="162"/>
      <c r="J91" s="162"/>
      <c r="K91" s="162"/>
      <c r="L91" s="162"/>
      <c r="M91" s="162"/>
      <c r="N91" s="162"/>
      <c r="O91" s="162"/>
      <c r="P91" s="163"/>
      <c r="Q91" s="167" t="s">
        <v>149</v>
      </c>
      <c r="R91" s="168"/>
      <c r="S91" s="168"/>
      <c r="T91" s="168"/>
      <c r="U91" s="168"/>
      <c r="V91" s="168"/>
      <c r="W91" s="169"/>
      <c r="X91" s="173" t="s">
        <v>40</v>
      </c>
      <c r="Y91" s="174"/>
      <c r="Z91" s="177" t="s">
        <v>28</v>
      </c>
      <c r="AA91" s="178"/>
      <c r="AB91" s="179"/>
      <c r="AC91" s="177" t="s">
        <v>28</v>
      </c>
      <c r="AD91" s="179"/>
      <c r="AE91" s="183"/>
      <c r="AF91" s="184"/>
      <c r="AG91" s="184"/>
      <c r="AH91" s="184"/>
      <c r="AI91" s="184"/>
      <c r="AJ91" s="184"/>
      <c r="AK91" s="185"/>
      <c r="AL91" s="73"/>
    </row>
    <row r="92" spans="1:38" s="48" customFormat="1" ht="13.5" customHeight="1">
      <c r="A92" s="72"/>
      <c r="B92" s="137"/>
      <c r="C92" s="158"/>
      <c r="D92" s="159"/>
      <c r="E92" s="159"/>
      <c r="F92" s="159"/>
      <c r="G92" s="160"/>
      <c r="H92" s="164"/>
      <c r="I92" s="165"/>
      <c r="J92" s="165"/>
      <c r="K92" s="165"/>
      <c r="L92" s="165"/>
      <c r="M92" s="165"/>
      <c r="N92" s="165"/>
      <c r="O92" s="165"/>
      <c r="P92" s="166"/>
      <c r="Q92" s="170"/>
      <c r="R92" s="171"/>
      <c r="S92" s="171"/>
      <c r="T92" s="171"/>
      <c r="U92" s="171"/>
      <c r="V92" s="171"/>
      <c r="W92" s="172"/>
      <c r="X92" s="175"/>
      <c r="Y92" s="176"/>
      <c r="Z92" s="180"/>
      <c r="AA92" s="181"/>
      <c r="AB92" s="182"/>
      <c r="AC92" s="180"/>
      <c r="AD92" s="182"/>
      <c r="AE92" s="186"/>
      <c r="AF92" s="187"/>
      <c r="AG92" s="187"/>
      <c r="AH92" s="187"/>
      <c r="AI92" s="187"/>
      <c r="AJ92" s="187"/>
      <c r="AK92" s="188"/>
      <c r="AL92" s="73"/>
    </row>
    <row r="93" spans="1:38" s="48" customFormat="1" ht="13.5" customHeight="1">
      <c r="A93" s="72"/>
      <c r="B93" s="136">
        <f>B91+1</f>
        <v>32</v>
      </c>
      <c r="C93" s="155" t="str">
        <f>"項目"&amp;DBCS(B93)&amp;"名称"</f>
        <v>項目32名称</v>
      </c>
      <c r="D93" s="156"/>
      <c r="E93" s="156"/>
      <c r="F93" s="156"/>
      <c r="G93" s="157"/>
      <c r="H93" s="161" t="s">
        <v>90</v>
      </c>
      <c r="I93" s="162"/>
      <c r="J93" s="162"/>
      <c r="K93" s="162"/>
      <c r="L93" s="162"/>
      <c r="M93" s="162"/>
      <c r="N93" s="162"/>
      <c r="O93" s="162"/>
      <c r="P93" s="163"/>
      <c r="Q93" s="167" t="s">
        <v>150</v>
      </c>
      <c r="R93" s="168"/>
      <c r="S93" s="168"/>
      <c r="T93" s="168"/>
      <c r="U93" s="168"/>
      <c r="V93" s="168"/>
      <c r="W93" s="169"/>
      <c r="X93" s="173" t="s">
        <v>40</v>
      </c>
      <c r="Y93" s="174"/>
      <c r="Z93" s="177" t="s">
        <v>28</v>
      </c>
      <c r="AA93" s="178"/>
      <c r="AB93" s="179"/>
      <c r="AC93" s="177" t="s">
        <v>28</v>
      </c>
      <c r="AD93" s="179"/>
      <c r="AE93" s="183"/>
      <c r="AF93" s="184"/>
      <c r="AG93" s="184"/>
      <c r="AH93" s="184"/>
      <c r="AI93" s="184"/>
      <c r="AJ93" s="184"/>
      <c r="AK93" s="185"/>
      <c r="AL93" s="73"/>
    </row>
    <row r="94" spans="1:38" s="48" customFormat="1" ht="13.5" customHeight="1">
      <c r="A94" s="72"/>
      <c r="B94" s="137"/>
      <c r="C94" s="158"/>
      <c r="D94" s="159"/>
      <c r="E94" s="159"/>
      <c r="F94" s="159"/>
      <c r="G94" s="160"/>
      <c r="H94" s="164"/>
      <c r="I94" s="165"/>
      <c r="J94" s="165"/>
      <c r="K94" s="165"/>
      <c r="L94" s="165"/>
      <c r="M94" s="165"/>
      <c r="N94" s="165"/>
      <c r="O94" s="165"/>
      <c r="P94" s="166"/>
      <c r="Q94" s="170"/>
      <c r="R94" s="171"/>
      <c r="S94" s="171"/>
      <c r="T94" s="171"/>
      <c r="U94" s="171"/>
      <c r="V94" s="171"/>
      <c r="W94" s="172"/>
      <c r="X94" s="175"/>
      <c r="Y94" s="176"/>
      <c r="Z94" s="180"/>
      <c r="AA94" s="181"/>
      <c r="AB94" s="182"/>
      <c r="AC94" s="180"/>
      <c r="AD94" s="182"/>
      <c r="AE94" s="186"/>
      <c r="AF94" s="187"/>
      <c r="AG94" s="187"/>
      <c r="AH94" s="187"/>
      <c r="AI94" s="187"/>
      <c r="AJ94" s="187"/>
      <c r="AK94" s="188"/>
      <c r="AL94" s="73"/>
    </row>
    <row r="95" spans="1:38" s="48" customFormat="1" ht="13.5" customHeight="1">
      <c r="A95" s="72"/>
      <c r="B95" s="136">
        <f>B93+1</f>
        <v>33</v>
      </c>
      <c r="C95" s="155" t="str">
        <f>"項目"&amp;DBCS(B95)&amp;"名称"</f>
        <v>項目33名称</v>
      </c>
      <c r="D95" s="156"/>
      <c r="E95" s="156"/>
      <c r="F95" s="156"/>
      <c r="G95" s="157"/>
      <c r="H95" s="161" t="s">
        <v>90</v>
      </c>
      <c r="I95" s="162"/>
      <c r="J95" s="162"/>
      <c r="K95" s="162"/>
      <c r="L95" s="162"/>
      <c r="M95" s="162"/>
      <c r="N95" s="162"/>
      <c r="O95" s="162"/>
      <c r="P95" s="163"/>
      <c r="Q95" s="167" t="s">
        <v>151</v>
      </c>
      <c r="R95" s="168"/>
      <c r="S95" s="168"/>
      <c r="T95" s="168"/>
      <c r="U95" s="168"/>
      <c r="V95" s="168"/>
      <c r="W95" s="169"/>
      <c r="X95" s="173" t="s">
        <v>40</v>
      </c>
      <c r="Y95" s="174"/>
      <c r="Z95" s="177" t="s">
        <v>28</v>
      </c>
      <c r="AA95" s="178"/>
      <c r="AB95" s="179"/>
      <c r="AC95" s="177" t="s">
        <v>28</v>
      </c>
      <c r="AD95" s="179"/>
      <c r="AE95" s="183"/>
      <c r="AF95" s="184"/>
      <c r="AG95" s="184"/>
      <c r="AH95" s="184"/>
      <c r="AI95" s="184"/>
      <c r="AJ95" s="184"/>
      <c r="AK95" s="185"/>
      <c r="AL95" s="73"/>
    </row>
    <row r="96" spans="1:38" s="48" customFormat="1" ht="13.5" customHeight="1">
      <c r="A96" s="72"/>
      <c r="B96" s="137"/>
      <c r="C96" s="158"/>
      <c r="D96" s="159"/>
      <c r="E96" s="159"/>
      <c r="F96" s="159"/>
      <c r="G96" s="160"/>
      <c r="H96" s="164"/>
      <c r="I96" s="165"/>
      <c r="J96" s="165"/>
      <c r="K96" s="165"/>
      <c r="L96" s="165"/>
      <c r="M96" s="165"/>
      <c r="N96" s="165"/>
      <c r="O96" s="165"/>
      <c r="P96" s="166"/>
      <c r="Q96" s="170"/>
      <c r="R96" s="171"/>
      <c r="S96" s="171"/>
      <c r="T96" s="171"/>
      <c r="U96" s="171"/>
      <c r="V96" s="171"/>
      <c r="W96" s="172"/>
      <c r="X96" s="175"/>
      <c r="Y96" s="176"/>
      <c r="Z96" s="180"/>
      <c r="AA96" s="181"/>
      <c r="AB96" s="182"/>
      <c r="AC96" s="180"/>
      <c r="AD96" s="182"/>
      <c r="AE96" s="186"/>
      <c r="AF96" s="187"/>
      <c r="AG96" s="187"/>
      <c r="AH96" s="187"/>
      <c r="AI96" s="187"/>
      <c r="AJ96" s="187"/>
      <c r="AK96" s="188"/>
      <c r="AL96" s="73"/>
    </row>
    <row r="97" spans="1:38" s="48" customFormat="1" ht="13.5" customHeight="1">
      <c r="A97" s="72"/>
      <c r="B97" s="136">
        <f>B95+1</f>
        <v>34</v>
      </c>
      <c r="C97" s="155" t="str">
        <f>"項目"&amp;DBCS(B97)&amp;"名称"</f>
        <v>項目34名称</v>
      </c>
      <c r="D97" s="156"/>
      <c r="E97" s="156"/>
      <c r="F97" s="156"/>
      <c r="G97" s="157"/>
      <c r="H97" s="161" t="s">
        <v>90</v>
      </c>
      <c r="I97" s="162"/>
      <c r="J97" s="162"/>
      <c r="K97" s="162"/>
      <c r="L97" s="162"/>
      <c r="M97" s="162"/>
      <c r="N97" s="162"/>
      <c r="O97" s="162"/>
      <c r="P97" s="163"/>
      <c r="Q97" s="167" t="s">
        <v>152</v>
      </c>
      <c r="R97" s="168"/>
      <c r="S97" s="168"/>
      <c r="T97" s="168"/>
      <c r="U97" s="168"/>
      <c r="V97" s="168"/>
      <c r="W97" s="169"/>
      <c r="X97" s="173" t="s">
        <v>40</v>
      </c>
      <c r="Y97" s="174"/>
      <c r="Z97" s="177" t="s">
        <v>28</v>
      </c>
      <c r="AA97" s="178"/>
      <c r="AB97" s="179"/>
      <c r="AC97" s="177" t="s">
        <v>28</v>
      </c>
      <c r="AD97" s="179"/>
      <c r="AE97" s="183"/>
      <c r="AF97" s="184"/>
      <c r="AG97" s="184"/>
      <c r="AH97" s="184"/>
      <c r="AI97" s="184"/>
      <c r="AJ97" s="184"/>
      <c r="AK97" s="185"/>
      <c r="AL97" s="73"/>
    </row>
    <row r="98" spans="1:38" s="48" customFormat="1" ht="13.5" customHeight="1">
      <c r="A98" s="72"/>
      <c r="B98" s="137"/>
      <c r="C98" s="158"/>
      <c r="D98" s="159"/>
      <c r="E98" s="159"/>
      <c r="F98" s="159"/>
      <c r="G98" s="160"/>
      <c r="H98" s="164"/>
      <c r="I98" s="165"/>
      <c r="J98" s="165"/>
      <c r="K98" s="165"/>
      <c r="L98" s="165"/>
      <c r="M98" s="165"/>
      <c r="N98" s="165"/>
      <c r="O98" s="165"/>
      <c r="P98" s="166"/>
      <c r="Q98" s="170"/>
      <c r="R98" s="171"/>
      <c r="S98" s="171"/>
      <c r="T98" s="171"/>
      <c r="U98" s="171"/>
      <c r="V98" s="171"/>
      <c r="W98" s="172"/>
      <c r="X98" s="175"/>
      <c r="Y98" s="176"/>
      <c r="Z98" s="180"/>
      <c r="AA98" s="181"/>
      <c r="AB98" s="182"/>
      <c r="AC98" s="180"/>
      <c r="AD98" s="182"/>
      <c r="AE98" s="186"/>
      <c r="AF98" s="187"/>
      <c r="AG98" s="187"/>
      <c r="AH98" s="187"/>
      <c r="AI98" s="187"/>
      <c r="AJ98" s="187"/>
      <c r="AK98" s="188"/>
      <c r="AL98" s="73"/>
    </row>
    <row r="99" spans="1:38" s="48" customFormat="1" ht="13.5" customHeight="1">
      <c r="A99" s="72"/>
      <c r="B99" s="136">
        <v>34</v>
      </c>
      <c r="C99" s="155" t="str">
        <f>"項目"&amp;DBCS(B99)&amp;"名称"</f>
        <v>項目34名称</v>
      </c>
      <c r="D99" s="156"/>
      <c r="E99" s="156"/>
      <c r="F99" s="156"/>
      <c r="G99" s="157"/>
      <c r="H99" s="161" t="s">
        <v>90</v>
      </c>
      <c r="I99" s="162"/>
      <c r="J99" s="162"/>
      <c r="K99" s="162"/>
      <c r="L99" s="162"/>
      <c r="M99" s="162"/>
      <c r="N99" s="162"/>
      <c r="O99" s="162"/>
      <c r="P99" s="163"/>
      <c r="Q99" s="167" t="s">
        <v>153</v>
      </c>
      <c r="R99" s="168"/>
      <c r="S99" s="168"/>
      <c r="T99" s="168"/>
      <c r="U99" s="168"/>
      <c r="V99" s="168"/>
      <c r="W99" s="169"/>
      <c r="X99" s="173" t="s">
        <v>40</v>
      </c>
      <c r="Y99" s="174"/>
      <c r="Z99" s="177" t="s">
        <v>28</v>
      </c>
      <c r="AA99" s="178"/>
      <c r="AB99" s="179"/>
      <c r="AC99" s="177" t="s">
        <v>28</v>
      </c>
      <c r="AD99" s="179"/>
      <c r="AE99" s="183"/>
      <c r="AF99" s="184"/>
      <c r="AG99" s="184"/>
      <c r="AH99" s="184"/>
      <c r="AI99" s="184"/>
      <c r="AJ99" s="184"/>
      <c r="AK99" s="185"/>
      <c r="AL99" s="73"/>
    </row>
    <row r="100" spans="1:38" s="48" customFormat="1" ht="13.5" customHeight="1">
      <c r="A100" s="72"/>
      <c r="B100" s="137"/>
      <c r="C100" s="158"/>
      <c r="D100" s="159"/>
      <c r="E100" s="159"/>
      <c r="F100" s="159"/>
      <c r="G100" s="160"/>
      <c r="H100" s="164"/>
      <c r="I100" s="165"/>
      <c r="J100" s="165"/>
      <c r="K100" s="165"/>
      <c r="L100" s="165"/>
      <c r="M100" s="165"/>
      <c r="N100" s="165"/>
      <c r="O100" s="165"/>
      <c r="P100" s="166"/>
      <c r="Q100" s="170"/>
      <c r="R100" s="171"/>
      <c r="S100" s="171"/>
      <c r="T100" s="171"/>
      <c r="U100" s="171"/>
      <c r="V100" s="171"/>
      <c r="W100" s="172"/>
      <c r="X100" s="175"/>
      <c r="Y100" s="176"/>
      <c r="Z100" s="180"/>
      <c r="AA100" s="181"/>
      <c r="AB100" s="182"/>
      <c r="AC100" s="180"/>
      <c r="AD100" s="182"/>
      <c r="AE100" s="186"/>
      <c r="AF100" s="187"/>
      <c r="AG100" s="187"/>
      <c r="AH100" s="187"/>
      <c r="AI100" s="187"/>
      <c r="AJ100" s="187"/>
      <c r="AK100" s="188"/>
      <c r="AL100" s="73"/>
    </row>
    <row r="101" spans="1:38" s="48" customFormat="1" ht="13.5" customHeight="1">
      <c r="A101" s="72"/>
      <c r="B101" s="136">
        <v>35</v>
      </c>
      <c r="C101" s="155" t="str">
        <f>"項目"&amp;DBCS(B101)&amp;"名称"</f>
        <v>項目35名称</v>
      </c>
      <c r="D101" s="156"/>
      <c r="E101" s="156"/>
      <c r="F101" s="156"/>
      <c r="G101" s="157"/>
      <c r="H101" s="161" t="s">
        <v>90</v>
      </c>
      <c r="I101" s="162"/>
      <c r="J101" s="162"/>
      <c r="K101" s="162"/>
      <c r="L101" s="162"/>
      <c r="M101" s="162"/>
      <c r="N101" s="162"/>
      <c r="O101" s="162"/>
      <c r="P101" s="163"/>
      <c r="Q101" s="167" t="s">
        <v>184</v>
      </c>
      <c r="R101" s="168"/>
      <c r="S101" s="168"/>
      <c r="T101" s="168"/>
      <c r="U101" s="168"/>
      <c r="V101" s="168"/>
      <c r="W101" s="169"/>
      <c r="X101" s="173" t="s">
        <v>40</v>
      </c>
      <c r="Y101" s="174"/>
      <c r="Z101" s="177" t="s">
        <v>28</v>
      </c>
      <c r="AA101" s="178"/>
      <c r="AB101" s="179"/>
      <c r="AC101" s="177" t="s">
        <v>28</v>
      </c>
      <c r="AD101" s="179"/>
      <c r="AE101" s="183"/>
      <c r="AF101" s="184"/>
      <c r="AG101" s="184"/>
      <c r="AH101" s="184"/>
      <c r="AI101" s="184"/>
      <c r="AJ101" s="184"/>
      <c r="AK101" s="185"/>
      <c r="AL101" s="73"/>
    </row>
    <row r="102" spans="1:38" s="48" customFormat="1" ht="13.5" customHeight="1">
      <c r="A102" s="72"/>
      <c r="B102" s="137"/>
      <c r="C102" s="158"/>
      <c r="D102" s="159"/>
      <c r="E102" s="159"/>
      <c r="F102" s="159"/>
      <c r="G102" s="160"/>
      <c r="H102" s="164"/>
      <c r="I102" s="165"/>
      <c r="J102" s="165"/>
      <c r="K102" s="165"/>
      <c r="L102" s="165"/>
      <c r="M102" s="165"/>
      <c r="N102" s="165"/>
      <c r="O102" s="165"/>
      <c r="P102" s="166"/>
      <c r="Q102" s="170"/>
      <c r="R102" s="171"/>
      <c r="S102" s="171"/>
      <c r="T102" s="171"/>
      <c r="U102" s="171"/>
      <c r="V102" s="171"/>
      <c r="W102" s="172"/>
      <c r="X102" s="175"/>
      <c r="Y102" s="176"/>
      <c r="Z102" s="180"/>
      <c r="AA102" s="181"/>
      <c r="AB102" s="182"/>
      <c r="AC102" s="180"/>
      <c r="AD102" s="182"/>
      <c r="AE102" s="186"/>
      <c r="AF102" s="187"/>
      <c r="AG102" s="187"/>
      <c r="AH102" s="187"/>
      <c r="AI102" s="187"/>
      <c r="AJ102" s="187"/>
      <c r="AK102" s="188"/>
      <c r="AL102" s="73"/>
    </row>
    <row r="103" spans="1:38" s="48" customFormat="1" ht="13.5" customHeight="1">
      <c r="A103" s="72"/>
      <c r="B103" s="136">
        <v>36</v>
      </c>
      <c r="C103" s="155" t="str">
        <f>"項目"&amp;DBCS(B103)&amp;"名称"</f>
        <v>項目36名称</v>
      </c>
      <c r="D103" s="156"/>
      <c r="E103" s="156"/>
      <c r="F103" s="156"/>
      <c r="G103" s="157"/>
      <c r="H103" s="161" t="s">
        <v>90</v>
      </c>
      <c r="I103" s="162"/>
      <c r="J103" s="162"/>
      <c r="K103" s="162"/>
      <c r="L103" s="162"/>
      <c r="M103" s="162"/>
      <c r="N103" s="162"/>
      <c r="O103" s="162"/>
      <c r="P103" s="163"/>
      <c r="Q103" s="167" t="s">
        <v>185</v>
      </c>
      <c r="R103" s="168"/>
      <c r="S103" s="168"/>
      <c r="T103" s="168"/>
      <c r="U103" s="168"/>
      <c r="V103" s="168"/>
      <c r="W103" s="169"/>
      <c r="X103" s="173" t="s">
        <v>40</v>
      </c>
      <c r="Y103" s="174"/>
      <c r="Z103" s="177" t="s">
        <v>28</v>
      </c>
      <c r="AA103" s="178"/>
      <c r="AB103" s="179"/>
      <c r="AC103" s="177" t="s">
        <v>28</v>
      </c>
      <c r="AD103" s="179"/>
      <c r="AE103" s="183"/>
      <c r="AF103" s="184"/>
      <c r="AG103" s="184"/>
      <c r="AH103" s="184"/>
      <c r="AI103" s="184"/>
      <c r="AJ103" s="184"/>
      <c r="AK103" s="185"/>
      <c r="AL103" s="73"/>
    </row>
    <row r="104" spans="1:38" s="48" customFormat="1" ht="13.5" customHeight="1">
      <c r="A104" s="72"/>
      <c r="B104" s="137"/>
      <c r="C104" s="158"/>
      <c r="D104" s="159"/>
      <c r="E104" s="159"/>
      <c r="F104" s="159"/>
      <c r="G104" s="160"/>
      <c r="H104" s="164"/>
      <c r="I104" s="165"/>
      <c r="J104" s="165"/>
      <c r="K104" s="165"/>
      <c r="L104" s="165"/>
      <c r="M104" s="165"/>
      <c r="N104" s="165"/>
      <c r="O104" s="165"/>
      <c r="P104" s="166"/>
      <c r="Q104" s="170"/>
      <c r="R104" s="171"/>
      <c r="S104" s="171"/>
      <c r="T104" s="171"/>
      <c r="U104" s="171"/>
      <c r="V104" s="171"/>
      <c r="W104" s="172"/>
      <c r="X104" s="175"/>
      <c r="Y104" s="176"/>
      <c r="Z104" s="180"/>
      <c r="AA104" s="181"/>
      <c r="AB104" s="182"/>
      <c r="AC104" s="180"/>
      <c r="AD104" s="182"/>
      <c r="AE104" s="186"/>
      <c r="AF104" s="187"/>
      <c r="AG104" s="187"/>
      <c r="AH104" s="187"/>
      <c r="AI104" s="187"/>
      <c r="AJ104" s="187"/>
      <c r="AK104" s="188"/>
      <c r="AL104" s="73"/>
    </row>
    <row r="105" spans="1:38" s="9" customFormat="1" ht="13.5" customHeight="1">
      <c r="A105" s="74"/>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75"/>
    </row>
    <row r="106" spans="1:38" s="9" customFormat="1" ht="13.5" customHeight="1">
      <c r="A106" s="74"/>
      <c r="B106" s="27"/>
      <c r="C106" s="138" t="s">
        <v>183</v>
      </c>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75"/>
    </row>
    <row r="107" spans="1:38" s="9" customFormat="1" ht="13.5" customHeight="1">
      <c r="A107" s="74"/>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75"/>
    </row>
    <row r="108" spans="1:38" s="9" customFormat="1" ht="13.5" customHeight="1">
      <c r="A108" s="74"/>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75"/>
    </row>
    <row r="109" spans="1:38" s="9" customFormat="1" ht="13.5" customHeight="1">
      <c r="A109" s="74"/>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75"/>
    </row>
    <row r="110" spans="1:38" s="9" customFormat="1" ht="13.5" customHeight="1">
      <c r="A110" s="74"/>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75"/>
    </row>
    <row r="111" spans="1:38" s="9" customFormat="1" ht="13.5" customHeight="1">
      <c r="A111" s="74"/>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75"/>
    </row>
    <row r="112" spans="1:38" s="9" customFormat="1" ht="13.5" customHeight="1">
      <c r="A112" s="74"/>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75"/>
    </row>
    <row r="113" spans="1:38" s="9" customFormat="1" ht="13.5" customHeight="1">
      <c r="A113" s="74"/>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75"/>
    </row>
    <row r="114" spans="1:38" s="9" customFormat="1" ht="13.5" customHeight="1">
      <c r="A114" s="74"/>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75"/>
    </row>
    <row r="115" spans="1:38" s="9" customFormat="1" ht="13.5" customHeight="1">
      <c r="A115" s="74"/>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75"/>
    </row>
    <row r="116" spans="1:38" s="9" customFormat="1" ht="13.5" customHeight="1">
      <c r="A116" s="74"/>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75"/>
    </row>
    <row r="117" spans="1:38" s="9" customFormat="1" ht="13.5" customHeight="1">
      <c r="A117" s="74"/>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75"/>
    </row>
    <row r="118" spans="1:38" s="9" customFormat="1" ht="13.5" customHeight="1">
      <c r="A118" s="74"/>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75"/>
    </row>
    <row r="119" spans="1:38" s="9" customFormat="1" ht="13.5" customHeight="1">
      <c r="A119" s="74"/>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75"/>
    </row>
    <row r="120" spans="1:38" s="9" customFormat="1" ht="13.5" customHeight="1">
      <c r="A120" s="74"/>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75"/>
    </row>
    <row r="121" spans="1:38" s="9" customFormat="1" ht="13.5" customHeight="1">
      <c r="A121" s="74"/>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75"/>
    </row>
    <row r="122" spans="1:38" s="9" customFormat="1" ht="13.5" customHeight="1">
      <c r="A122" s="74"/>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75"/>
    </row>
    <row r="123" spans="1:38" s="9" customFormat="1" ht="13.5" customHeight="1">
      <c r="A123" s="74"/>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75"/>
    </row>
    <row r="124" spans="1:38" s="9" customFormat="1" ht="13.5" customHeight="1">
      <c r="A124" s="74"/>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75"/>
    </row>
    <row r="125" spans="1:38" s="9" customFormat="1" ht="13.5" customHeight="1">
      <c r="A125" s="74"/>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75"/>
    </row>
    <row r="126" spans="1:38" s="9" customFormat="1" ht="13.5" customHeight="1">
      <c r="A126" s="74"/>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75"/>
    </row>
    <row r="127" spans="1:38" s="9" customFormat="1" ht="13.5" customHeight="1">
      <c r="A127" s="74"/>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75"/>
    </row>
    <row r="128" spans="1:38" s="9" customFormat="1" ht="13.5" customHeight="1">
      <c r="A128" s="114"/>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c r="Z128" s="115"/>
      <c r="AA128" s="115"/>
      <c r="AB128" s="115"/>
      <c r="AC128" s="115"/>
      <c r="AD128" s="115"/>
      <c r="AE128" s="115"/>
      <c r="AF128" s="115"/>
      <c r="AG128" s="115"/>
      <c r="AH128" s="115"/>
      <c r="AI128" s="115"/>
      <c r="AJ128" s="115"/>
      <c r="AK128" s="115"/>
      <c r="AL128" s="116"/>
    </row>
    <row r="129" spans="1:38" s="9" customFormat="1" ht="13.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row>
    <row r="130" spans="1:38" s="9" customFormat="1" ht="13.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row>
    <row r="131" spans="1:38" s="9" customFormat="1" ht="13.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row>
    <row r="132" spans="1:38" s="9" customFormat="1" ht="13.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row>
    <row r="133" spans="1:38" s="9" customFormat="1" ht="13.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row>
    <row r="134" spans="1:38" s="9" customFormat="1" ht="13.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row>
    <row r="135" spans="1:38" s="9" customFormat="1" ht="13.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row>
    <row r="136" spans="1:38" s="9" customFormat="1" ht="13.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row>
    <row r="137" spans="1:38" s="9" customFormat="1" ht="13.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row>
    <row r="138" spans="1:38" s="9" customFormat="1" ht="13.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row>
    <row r="139" spans="1:38" s="9" customFormat="1" ht="13.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row>
    <row r="140" spans="1:38" s="9" customFormat="1" ht="13.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row>
    <row r="141" spans="1:38" s="9" customFormat="1" ht="13.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row>
    <row r="142" spans="1:38" s="9" customFormat="1" ht="13.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row>
    <row r="143" spans="1:38" s="9" customFormat="1" ht="13.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row>
    <row r="144" spans="1:38" s="9" customFormat="1" ht="13.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row>
    <row r="145" spans="1:38" s="9" customFormat="1" ht="13.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row>
    <row r="146" spans="1:38" s="9" customFormat="1" ht="13.5" customHeight="1"/>
    <row r="147" spans="1:38" s="9" customFormat="1" ht="13.5" customHeight="1"/>
    <row r="148" spans="1:38" s="9" customFormat="1" ht="13.5" customHeight="1"/>
    <row r="149" spans="1:38" s="9" customFormat="1" ht="13.5" customHeight="1"/>
  </sheetData>
  <mergeCells count="292">
    <mergeCell ref="C19:G20"/>
    <mergeCell ref="H19:P20"/>
    <mergeCell ref="Q19:W20"/>
    <mergeCell ref="X19:Y20"/>
    <mergeCell ref="Z19:AB20"/>
    <mergeCell ref="AC19:AD20"/>
    <mergeCell ref="AE19:AK20"/>
    <mergeCell ref="C91:G92"/>
    <mergeCell ref="H91:P92"/>
    <mergeCell ref="Q91:W92"/>
    <mergeCell ref="X91:Y92"/>
    <mergeCell ref="Z91:AB92"/>
    <mergeCell ref="C85:G86"/>
    <mergeCell ref="H85:P86"/>
    <mergeCell ref="Q85:W86"/>
    <mergeCell ref="X85:Y86"/>
    <mergeCell ref="Z85:AB86"/>
    <mergeCell ref="AC85:AD86"/>
    <mergeCell ref="AE85:AK86"/>
    <mergeCell ref="C87:G88"/>
    <mergeCell ref="H87:P88"/>
    <mergeCell ref="Q87:W88"/>
    <mergeCell ref="X87:Y88"/>
    <mergeCell ref="Z87:AB88"/>
    <mergeCell ref="AC87:AD88"/>
    <mergeCell ref="AE87:AK88"/>
    <mergeCell ref="C73:G74"/>
    <mergeCell ref="H73:P74"/>
    <mergeCell ref="Q73:W74"/>
    <mergeCell ref="X73:Y74"/>
    <mergeCell ref="Z73:AB74"/>
    <mergeCell ref="AC73:AD74"/>
    <mergeCell ref="AE73:AK74"/>
    <mergeCell ref="C75:G76"/>
    <mergeCell ref="H75:P76"/>
    <mergeCell ref="AC67:AD68"/>
    <mergeCell ref="AE67:AK68"/>
    <mergeCell ref="C71:G72"/>
    <mergeCell ref="H71:P72"/>
    <mergeCell ref="Q71:W72"/>
    <mergeCell ref="X71:Y72"/>
    <mergeCell ref="Z71:AB72"/>
    <mergeCell ref="AC71:AD72"/>
    <mergeCell ref="AE71:AK72"/>
    <mergeCell ref="C67:G68"/>
    <mergeCell ref="H67:P68"/>
    <mergeCell ref="Q67:W68"/>
    <mergeCell ref="X67:Y68"/>
    <mergeCell ref="Z67:AB68"/>
    <mergeCell ref="C69:G70"/>
    <mergeCell ref="H69:P70"/>
    <mergeCell ref="Q69:W70"/>
    <mergeCell ref="X69:Y70"/>
    <mergeCell ref="Z69:AB70"/>
    <mergeCell ref="AC69:AD70"/>
    <mergeCell ref="AE69:AK70"/>
    <mergeCell ref="P1:AL1"/>
    <mergeCell ref="P2:AL3"/>
    <mergeCell ref="A2:H3"/>
    <mergeCell ref="I2:O3"/>
    <mergeCell ref="AE55:AK56"/>
    <mergeCell ref="AE57:AK58"/>
    <mergeCell ref="AE59:AK60"/>
    <mergeCell ref="AE61:AK62"/>
    <mergeCell ref="Q31:W32"/>
    <mergeCell ref="X31:Y32"/>
    <mergeCell ref="Z31:AB32"/>
    <mergeCell ref="AC31:AD32"/>
    <mergeCell ref="C57:G58"/>
    <mergeCell ref="H57:P58"/>
    <mergeCell ref="C61:G62"/>
    <mergeCell ref="H61:P62"/>
    <mergeCell ref="Q57:W58"/>
    <mergeCell ref="X57:Y58"/>
    <mergeCell ref="Q61:W62"/>
    <mergeCell ref="X61:Y62"/>
    <mergeCell ref="C59:G60"/>
    <mergeCell ref="H59:P60"/>
    <mergeCell ref="Q59:W60"/>
    <mergeCell ref="AC27:AD28"/>
    <mergeCell ref="AE27:AK28"/>
    <mergeCell ref="C29:G30"/>
    <mergeCell ref="H29:P30"/>
    <mergeCell ref="Q29:W30"/>
    <mergeCell ref="X29:Y30"/>
    <mergeCell ref="Z29:AB30"/>
    <mergeCell ref="AC29:AD30"/>
    <mergeCell ref="AE29:AK30"/>
    <mergeCell ref="AC23:AD24"/>
    <mergeCell ref="AE23:AK24"/>
    <mergeCell ref="C25:G26"/>
    <mergeCell ref="H25:P26"/>
    <mergeCell ref="Q25:W26"/>
    <mergeCell ref="X25:Y26"/>
    <mergeCell ref="Z25:AB26"/>
    <mergeCell ref="AC25:AD26"/>
    <mergeCell ref="AE25:AK26"/>
    <mergeCell ref="C23:G24"/>
    <mergeCell ref="H23:P24"/>
    <mergeCell ref="Q23:W24"/>
    <mergeCell ref="X23:Y24"/>
    <mergeCell ref="Z23:AB24"/>
    <mergeCell ref="C27:G28"/>
    <mergeCell ref="H27:P28"/>
    <mergeCell ref="Q37:W38"/>
    <mergeCell ref="X37:Y38"/>
    <mergeCell ref="Z37:AB38"/>
    <mergeCell ref="AC37:AD38"/>
    <mergeCell ref="AE37:AK38"/>
    <mergeCell ref="C31:G32"/>
    <mergeCell ref="H31:P32"/>
    <mergeCell ref="C35:G36"/>
    <mergeCell ref="H35:P36"/>
    <mergeCell ref="Q35:W36"/>
    <mergeCell ref="X35:Y36"/>
    <mergeCell ref="Z35:AB36"/>
    <mergeCell ref="AC35:AD36"/>
    <mergeCell ref="AE35:AK36"/>
    <mergeCell ref="AC33:AD34"/>
    <mergeCell ref="AE33:AK34"/>
    <mergeCell ref="AC57:AD58"/>
    <mergeCell ref="AC59:AD60"/>
    <mergeCell ref="AC61:AD62"/>
    <mergeCell ref="Z61:AB62"/>
    <mergeCell ref="AE39:AK40"/>
    <mergeCell ref="C49:G50"/>
    <mergeCell ref="H49:P50"/>
    <mergeCell ref="Q49:W50"/>
    <mergeCell ref="X49:Y50"/>
    <mergeCell ref="Z49:AB50"/>
    <mergeCell ref="AC49:AD50"/>
    <mergeCell ref="AE49:AK50"/>
    <mergeCell ref="C51:G52"/>
    <mergeCell ref="H51:P52"/>
    <mergeCell ref="Q51:W52"/>
    <mergeCell ref="X51:Y52"/>
    <mergeCell ref="Z51:AB52"/>
    <mergeCell ref="AC51:AD52"/>
    <mergeCell ref="C39:G40"/>
    <mergeCell ref="H39:P40"/>
    <mergeCell ref="Q39:W40"/>
    <mergeCell ref="X39:Y40"/>
    <mergeCell ref="Z39:AB40"/>
    <mergeCell ref="AC39:AD40"/>
    <mergeCell ref="C10:G11"/>
    <mergeCell ref="H10:P11"/>
    <mergeCell ref="Q10:W11"/>
    <mergeCell ref="X10:Y11"/>
    <mergeCell ref="Z10:AB11"/>
    <mergeCell ref="AC10:AD11"/>
    <mergeCell ref="AE10:AK11"/>
    <mergeCell ref="C12:G13"/>
    <mergeCell ref="H12:P13"/>
    <mergeCell ref="Q12:W13"/>
    <mergeCell ref="X12:Y13"/>
    <mergeCell ref="Z12:AB13"/>
    <mergeCell ref="AC12:AD13"/>
    <mergeCell ref="AE12:AK13"/>
    <mergeCell ref="AC53:AD54"/>
    <mergeCell ref="AE53:AK54"/>
    <mergeCell ref="X55:Y56"/>
    <mergeCell ref="Z55:AB56"/>
    <mergeCell ref="AC55:AD56"/>
    <mergeCell ref="C55:G56"/>
    <mergeCell ref="H55:P56"/>
    <mergeCell ref="Q55:W56"/>
    <mergeCell ref="AC14:AD15"/>
    <mergeCell ref="AE14:AK15"/>
    <mergeCell ref="C16:G17"/>
    <mergeCell ref="H16:P17"/>
    <mergeCell ref="Q16:W17"/>
    <mergeCell ref="X16:Y17"/>
    <mergeCell ref="Z16:AB17"/>
    <mergeCell ref="AC16:AD17"/>
    <mergeCell ref="AE16:AK17"/>
    <mergeCell ref="C14:G15"/>
    <mergeCell ref="H14:P15"/>
    <mergeCell ref="Q14:W15"/>
    <mergeCell ref="X14:Y15"/>
    <mergeCell ref="Z14:AB15"/>
    <mergeCell ref="AE31:AK32"/>
    <mergeCell ref="C37:G38"/>
    <mergeCell ref="Q27:W28"/>
    <mergeCell ref="X27:Y28"/>
    <mergeCell ref="Z27:AB28"/>
    <mergeCell ref="X59:Y60"/>
    <mergeCell ref="Z59:AB60"/>
    <mergeCell ref="Q63:W64"/>
    <mergeCell ref="X63:Y64"/>
    <mergeCell ref="Z63:AB64"/>
    <mergeCell ref="C33:G34"/>
    <mergeCell ref="H33:P34"/>
    <mergeCell ref="Q33:W34"/>
    <mergeCell ref="X33:Y34"/>
    <mergeCell ref="Z33:AB34"/>
    <mergeCell ref="C47:G48"/>
    <mergeCell ref="H47:P48"/>
    <mergeCell ref="Q47:W48"/>
    <mergeCell ref="X47:Y48"/>
    <mergeCell ref="Z47:AB48"/>
    <mergeCell ref="C53:G54"/>
    <mergeCell ref="H53:P54"/>
    <mergeCell ref="Q53:W54"/>
    <mergeCell ref="X53:Y54"/>
    <mergeCell ref="Z53:AB54"/>
    <mergeCell ref="H37:P38"/>
    <mergeCell ref="C21:G22"/>
    <mergeCell ref="H21:P22"/>
    <mergeCell ref="Q21:W22"/>
    <mergeCell ref="X21:Y22"/>
    <mergeCell ref="Z21:AB22"/>
    <mergeCell ref="AC21:AD22"/>
    <mergeCell ref="AE21:AK22"/>
    <mergeCell ref="T4:X4"/>
    <mergeCell ref="AC91:AD92"/>
    <mergeCell ref="AE91:AK92"/>
    <mergeCell ref="Q75:W76"/>
    <mergeCell ref="X75:Y76"/>
    <mergeCell ref="Z75:AB76"/>
    <mergeCell ref="AC75:AD76"/>
    <mergeCell ref="AE75:AK76"/>
    <mergeCell ref="C77:G78"/>
    <mergeCell ref="H77:P78"/>
    <mergeCell ref="Q77:W78"/>
    <mergeCell ref="X77:Y78"/>
    <mergeCell ref="Z77:AB78"/>
    <mergeCell ref="AC77:AD78"/>
    <mergeCell ref="AE77:AK78"/>
    <mergeCell ref="C63:G64"/>
    <mergeCell ref="H63:P64"/>
    <mergeCell ref="X97:Y98"/>
    <mergeCell ref="Z97:AB98"/>
    <mergeCell ref="AC97:AD98"/>
    <mergeCell ref="AE97:AK98"/>
    <mergeCell ref="AC47:AD48"/>
    <mergeCell ref="AE47:AK48"/>
    <mergeCell ref="C93:G94"/>
    <mergeCell ref="H93:P94"/>
    <mergeCell ref="Q93:W94"/>
    <mergeCell ref="X93:Y94"/>
    <mergeCell ref="Z93:AB94"/>
    <mergeCell ref="AC93:AD94"/>
    <mergeCell ref="AE93:AK94"/>
    <mergeCell ref="AC63:AD64"/>
    <mergeCell ref="AE63:AK64"/>
    <mergeCell ref="C65:G66"/>
    <mergeCell ref="H65:P66"/>
    <mergeCell ref="Q65:W66"/>
    <mergeCell ref="X65:Y66"/>
    <mergeCell ref="Z65:AB66"/>
    <mergeCell ref="AC65:AD66"/>
    <mergeCell ref="AE65:AK66"/>
    <mergeCell ref="Z57:AB58"/>
    <mergeCell ref="AE51:AK52"/>
    <mergeCell ref="C103:G104"/>
    <mergeCell ref="H103:P104"/>
    <mergeCell ref="Q103:W104"/>
    <mergeCell ref="X103:Y104"/>
    <mergeCell ref="Z103:AB104"/>
    <mergeCell ref="AC103:AD104"/>
    <mergeCell ref="AE103:AK104"/>
    <mergeCell ref="C89:G90"/>
    <mergeCell ref="H89:P90"/>
    <mergeCell ref="Q89:W90"/>
    <mergeCell ref="X89:Y90"/>
    <mergeCell ref="Z89:AB90"/>
    <mergeCell ref="AC89:AD90"/>
    <mergeCell ref="AE89:AK90"/>
    <mergeCell ref="C95:G96"/>
    <mergeCell ref="H95:P96"/>
    <mergeCell ref="Q95:W96"/>
    <mergeCell ref="X95:Y96"/>
    <mergeCell ref="Z95:AB96"/>
    <mergeCell ref="AC95:AD96"/>
    <mergeCell ref="AE95:AK96"/>
    <mergeCell ref="C97:G98"/>
    <mergeCell ref="H97:P98"/>
    <mergeCell ref="Q97:W98"/>
    <mergeCell ref="C99:G100"/>
    <mergeCell ref="H99:P100"/>
    <mergeCell ref="Q99:W100"/>
    <mergeCell ref="X99:Y100"/>
    <mergeCell ref="Z99:AB100"/>
    <mergeCell ref="AC99:AD100"/>
    <mergeCell ref="AE99:AK100"/>
    <mergeCell ref="C101:G102"/>
    <mergeCell ref="H101:P102"/>
    <mergeCell ref="Q101:W102"/>
    <mergeCell ref="X101:Y102"/>
    <mergeCell ref="Z101:AB102"/>
    <mergeCell ref="AC101:AD102"/>
    <mergeCell ref="AE101:AK102"/>
  </mergeCells>
  <phoneticPr fontId="2"/>
  <pageMargins left="0.78740157480314965" right="0.78740157480314965" top="0.78740157480314965" bottom="0.78740157480314965" header="0.51181102362204722" footer="0.51181102362204722"/>
  <pageSetup paperSize="9" fitToHeight="0" orientation="landscape" r:id="rId1"/>
  <headerFooter scaleWithDoc="0" alignWithMargins="0">
    <oddFooter>&amp;C5.2.2-&amp;P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L131"/>
  <sheetViews>
    <sheetView view="pageBreakPreview" zoomScaleNormal="85" zoomScaleSheetLayoutView="100" workbookViewId="0">
      <pane ySplit="4" topLeftCell="A39" activePane="bottomLeft" state="frozen"/>
      <selection activeCell="Q16" sqref="Q16"/>
      <selection pane="bottomLeft" activeCell="H61" sqref="H61:P62"/>
    </sheetView>
  </sheetViews>
  <sheetFormatPr baseColWidth="10" defaultColWidth="3.59765625" defaultRowHeight="13.5" customHeight="1"/>
  <cols>
    <col min="1" max="16384" width="3.59765625" style="22"/>
  </cols>
  <sheetData>
    <row r="1" spans="1:38" s="1" customFormat="1" ht="13.5" customHeight="1">
      <c r="A1" s="28" t="s">
        <v>5</v>
      </c>
      <c r="B1" s="29"/>
      <c r="C1" s="30"/>
      <c r="D1" s="30"/>
      <c r="E1" s="30"/>
      <c r="F1" s="30"/>
      <c r="G1" s="30"/>
      <c r="H1" s="30"/>
      <c r="I1" s="28" t="s">
        <v>17</v>
      </c>
      <c r="J1" s="30"/>
      <c r="K1" s="30"/>
      <c r="L1" s="30"/>
      <c r="M1" s="30"/>
      <c r="N1" s="30"/>
      <c r="O1" s="30"/>
      <c r="P1" s="146" t="s">
        <v>18</v>
      </c>
      <c r="Q1" s="147"/>
      <c r="R1" s="147"/>
      <c r="S1" s="147"/>
      <c r="T1" s="147"/>
      <c r="U1" s="147"/>
      <c r="V1" s="147"/>
      <c r="W1" s="147"/>
      <c r="X1" s="147"/>
      <c r="Y1" s="147"/>
      <c r="Z1" s="147" t="s">
        <v>19</v>
      </c>
      <c r="AA1" s="147"/>
      <c r="AB1" s="147"/>
      <c r="AC1" s="147" t="s">
        <v>20</v>
      </c>
      <c r="AD1" s="147"/>
      <c r="AE1" s="147"/>
      <c r="AF1" s="147"/>
      <c r="AG1" s="147"/>
      <c r="AH1" s="147"/>
      <c r="AI1" s="147"/>
      <c r="AJ1" s="147"/>
      <c r="AK1" s="147"/>
      <c r="AL1" s="148"/>
    </row>
    <row r="2" spans="1:38" s="1" customFormat="1" ht="13.5" customHeight="1">
      <c r="A2" s="149" t="str">
        <f>目次!D1</f>
        <v>備蓄品管理システム</v>
      </c>
      <c r="B2" s="248"/>
      <c r="C2" s="248"/>
      <c r="D2" s="248"/>
      <c r="E2" s="248"/>
      <c r="F2" s="248"/>
      <c r="G2" s="248"/>
      <c r="H2" s="249"/>
      <c r="I2" s="149" t="str">
        <f>目次!D2</f>
        <v>第5章　ファイル設計</v>
      </c>
      <c r="J2" s="150"/>
      <c r="K2" s="150"/>
      <c r="L2" s="150"/>
      <c r="M2" s="150"/>
      <c r="N2" s="150"/>
      <c r="O2" s="151"/>
      <c r="P2" s="242" t="str">
        <f>目次!A4</f>
        <v>5.2.2 ビルデータ登録</v>
      </c>
      <c r="Q2" s="243"/>
      <c r="R2" s="243"/>
      <c r="S2" s="243"/>
      <c r="T2" s="243"/>
      <c r="U2" s="243"/>
      <c r="V2" s="243"/>
      <c r="W2" s="243"/>
      <c r="X2" s="243"/>
      <c r="Y2" s="243"/>
      <c r="Z2" s="243" t="s">
        <v>3</v>
      </c>
      <c r="AA2" s="243"/>
      <c r="AB2" s="243"/>
      <c r="AC2" s="243">
        <v>42398</v>
      </c>
      <c r="AD2" s="243"/>
      <c r="AE2" s="243"/>
      <c r="AF2" s="243" t="s">
        <v>2</v>
      </c>
      <c r="AG2" s="243"/>
      <c r="AH2" s="243"/>
      <c r="AI2" s="243" t="s">
        <v>6</v>
      </c>
      <c r="AJ2" s="243"/>
      <c r="AK2" s="243"/>
      <c r="AL2" s="244"/>
    </row>
    <row r="3" spans="1:38" s="1" customFormat="1" ht="13.5" customHeight="1">
      <c r="A3" s="250"/>
      <c r="B3" s="251"/>
      <c r="C3" s="251"/>
      <c r="D3" s="251"/>
      <c r="E3" s="251"/>
      <c r="F3" s="251"/>
      <c r="G3" s="251"/>
      <c r="H3" s="252"/>
      <c r="I3" s="152"/>
      <c r="J3" s="153"/>
      <c r="K3" s="153"/>
      <c r="L3" s="153"/>
      <c r="M3" s="153"/>
      <c r="N3" s="153"/>
      <c r="O3" s="154"/>
      <c r="P3" s="245"/>
      <c r="Q3" s="246"/>
      <c r="R3" s="246"/>
      <c r="S3" s="246"/>
      <c r="T3" s="246"/>
      <c r="U3" s="246"/>
      <c r="V3" s="246"/>
      <c r="W3" s="246"/>
      <c r="X3" s="246"/>
      <c r="Y3" s="246"/>
      <c r="Z3" s="246" t="s">
        <v>8</v>
      </c>
      <c r="AA3" s="246"/>
      <c r="AB3" s="246"/>
      <c r="AC3" s="246"/>
      <c r="AD3" s="246"/>
      <c r="AE3" s="246"/>
      <c r="AF3" s="246" t="s">
        <v>4</v>
      </c>
      <c r="AG3" s="246"/>
      <c r="AH3" s="246"/>
      <c r="AI3" s="246"/>
      <c r="AJ3" s="246"/>
      <c r="AK3" s="246"/>
      <c r="AL3" s="247"/>
    </row>
    <row r="4" spans="1:38" s="1" customFormat="1" ht="13.5" customHeight="1">
      <c r="A4" s="24" t="s">
        <v>25</v>
      </c>
      <c r="B4" s="31"/>
      <c r="C4" s="25"/>
      <c r="D4" s="25"/>
      <c r="E4" s="33" t="str">
        <f>目次!D8</f>
        <v>5.2.2.1 ビルデータCSV</v>
      </c>
      <c r="F4" s="34"/>
      <c r="G4" s="34"/>
      <c r="H4" s="34"/>
      <c r="I4" s="34"/>
      <c r="J4" s="34"/>
      <c r="K4" s="34"/>
      <c r="L4" s="34"/>
      <c r="M4" s="34"/>
      <c r="N4" s="34"/>
      <c r="O4" s="34"/>
      <c r="P4" s="24" t="s">
        <v>26</v>
      </c>
      <c r="Q4" s="31"/>
      <c r="R4" s="25"/>
      <c r="S4" s="25"/>
      <c r="T4" s="224" t="s">
        <v>27</v>
      </c>
      <c r="U4" s="225"/>
      <c r="V4" s="225"/>
      <c r="W4" s="225"/>
      <c r="X4" s="226"/>
      <c r="Y4" s="35"/>
      <c r="Z4" s="36"/>
      <c r="AA4" s="36"/>
      <c r="AB4" s="36"/>
      <c r="AC4" s="37"/>
      <c r="AD4" s="37"/>
      <c r="AE4" s="37"/>
      <c r="AF4" s="36"/>
      <c r="AG4" s="36"/>
      <c r="AH4" s="36"/>
      <c r="AI4" s="36"/>
      <c r="AJ4" s="37"/>
      <c r="AK4" s="37"/>
      <c r="AL4" s="38"/>
    </row>
    <row r="5" spans="1:38" s="40" customFormat="1" ht="13.5" customHeight="1">
      <c r="A5" s="65"/>
      <c r="B5" s="39"/>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66"/>
    </row>
    <row r="6" spans="1:38" s="40" customFormat="1" ht="13.5" customHeight="1">
      <c r="A6" s="67"/>
      <c r="B6" s="41" t="s">
        <v>121</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68"/>
    </row>
    <row r="7" spans="1:38" s="40" customFormat="1" ht="13.5" customHeight="1">
      <c r="A7" s="67"/>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68"/>
    </row>
    <row r="8" spans="1:38" s="40" customFormat="1" ht="13.5" customHeight="1">
      <c r="A8" s="67"/>
      <c r="B8" s="42" t="s">
        <v>29</v>
      </c>
      <c r="C8" s="43" t="s">
        <v>7</v>
      </c>
      <c r="D8" s="44"/>
      <c r="E8" s="45"/>
      <c r="F8" s="45"/>
      <c r="G8" s="46"/>
      <c r="H8" s="44" t="s">
        <v>21</v>
      </c>
      <c r="I8" s="45"/>
      <c r="J8" s="45"/>
      <c r="K8" s="45"/>
      <c r="L8" s="45"/>
      <c r="M8" s="45"/>
      <c r="N8" s="45"/>
      <c r="O8" s="45"/>
      <c r="P8" s="46"/>
      <c r="Q8" s="44" t="s">
        <v>30</v>
      </c>
      <c r="R8" s="45"/>
      <c r="S8" s="45"/>
      <c r="T8" s="45"/>
      <c r="U8" s="45"/>
      <c r="V8" s="46"/>
      <c r="W8" s="46"/>
      <c r="X8" s="44" t="s">
        <v>31</v>
      </c>
      <c r="Y8" s="46"/>
      <c r="Z8" s="44" t="s">
        <v>22</v>
      </c>
      <c r="AA8" s="46"/>
      <c r="AB8" s="44"/>
      <c r="AC8" s="44" t="s">
        <v>32</v>
      </c>
      <c r="AD8" s="47"/>
      <c r="AE8" s="47" t="s">
        <v>35</v>
      </c>
      <c r="AF8" s="45"/>
      <c r="AG8" s="45"/>
      <c r="AH8" s="45"/>
      <c r="AI8" s="45"/>
      <c r="AJ8" s="45"/>
      <c r="AK8" s="46"/>
      <c r="AL8" s="68"/>
    </row>
    <row r="9" spans="1:38" s="51" customFormat="1" ht="13.5" customHeight="1">
      <c r="A9" s="50"/>
      <c r="B9" s="54"/>
      <c r="C9" s="55" t="s">
        <v>39</v>
      </c>
      <c r="D9" s="56"/>
      <c r="E9" s="56"/>
      <c r="F9" s="56"/>
      <c r="G9" s="56"/>
      <c r="H9" s="57"/>
      <c r="I9" s="57"/>
      <c r="J9" s="57"/>
      <c r="K9" s="57"/>
      <c r="L9" s="57"/>
      <c r="M9" s="57"/>
      <c r="N9" s="57"/>
      <c r="O9" s="57"/>
      <c r="P9" s="57"/>
      <c r="Q9" s="109" t="s">
        <v>47</v>
      </c>
      <c r="R9" s="58"/>
      <c r="S9" s="58"/>
      <c r="T9" s="58"/>
      <c r="U9" s="58"/>
      <c r="V9" s="58"/>
      <c r="W9" s="58"/>
      <c r="X9" s="59"/>
      <c r="Y9" s="59"/>
      <c r="Z9" s="59"/>
      <c r="AA9" s="59"/>
      <c r="AB9" s="59"/>
      <c r="AC9" s="59"/>
      <c r="AD9" s="59"/>
      <c r="AE9" s="57"/>
      <c r="AF9" s="60"/>
      <c r="AG9" s="60"/>
      <c r="AH9" s="60"/>
      <c r="AI9" s="60"/>
      <c r="AJ9" s="60"/>
      <c r="AK9" s="61"/>
      <c r="AL9" s="52"/>
    </row>
    <row r="10" spans="1:38" s="48" customFormat="1" ht="13.5" customHeight="1">
      <c r="A10" s="72"/>
      <c r="B10" s="136">
        <v>1</v>
      </c>
      <c r="C10" s="253" t="s">
        <v>171</v>
      </c>
      <c r="D10" s="254"/>
      <c r="E10" s="254"/>
      <c r="F10" s="254"/>
      <c r="G10" s="255"/>
      <c r="H10" s="161" t="s">
        <v>171</v>
      </c>
      <c r="I10" s="162"/>
      <c r="J10" s="162"/>
      <c r="K10" s="162"/>
      <c r="L10" s="162"/>
      <c r="M10" s="162"/>
      <c r="N10" s="162"/>
      <c r="O10" s="162"/>
      <c r="P10" s="163"/>
      <c r="Q10" s="259" t="s">
        <v>45</v>
      </c>
      <c r="R10" s="260"/>
      <c r="S10" s="260"/>
      <c r="T10" s="260"/>
      <c r="U10" s="260"/>
      <c r="V10" s="260"/>
      <c r="W10" s="261"/>
      <c r="X10" s="173" t="s">
        <v>40</v>
      </c>
      <c r="Y10" s="174"/>
      <c r="Z10" s="177" t="s">
        <v>41</v>
      </c>
      <c r="AA10" s="178"/>
      <c r="AB10" s="179"/>
      <c r="AC10" s="177" t="s">
        <v>52</v>
      </c>
      <c r="AD10" s="179"/>
      <c r="AE10" s="183"/>
      <c r="AF10" s="184"/>
      <c r="AG10" s="184"/>
      <c r="AH10" s="184"/>
      <c r="AI10" s="184"/>
      <c r="AJ10" s="184"/>
      <c r="AK10" s="185"/>
      <c r="AL10" s="73"/>
    </row>
    <row r="11" spans="1:38" s="48" customFormat="1" ht="13.5" customHeight="1">
      <c r="A11" s="72"/>
      <c r="B11" s="137"/>
      <c r="C11" s="256"/>
      <c r="D11" s="257"/>
      <c r="E11" s="257"/>
      <c r="F11" s="257"/>
      <c r="G11" s="258"/>
      <c r="H11" s="164"/>
      <c r="I11" s="165"/>
      <c r="J11" s="165"/>
      <c r="K11" s="165"/>
      <c r="L11" s="165"/>
      <c r="M11" s="165"/>
      <c r="N11" s="165"/>
      <c r="O11" s="165"/>
      <c r="P11" s="166"/>
      <c r="Q11" s="262"/>
      <c r="R11" s="263"/>
      <c r="S11" s="263"/>
      <c r="T11" s="263"/>
      <c r="U11" s="263"/>
      <c r="V11" s="263"/>
      <c r="W11" s="264"/>
      <c r="X11" s="175"/>
      <c r="Y11" s="176"/>
      <c r="Z11" s="180"/>
      <c r="AA11" s="181"/>
      <c r="AB11" s="182"/>
      <c r="AC11" s="180"/>
      <c r="AD11" s="182"/>
      <c r="AE11" s="186"/>
      <c r="AF11" s="187"/>
      <c r="AG11" s="187"/>
      <c r="AH11" s="187"/>
      <c r="AI11" s="187"/>
      <c r="AJ11" s="187"/>
      <c r="AK11" s="188"/>
      <c r="AL11" s="73"/>
    </row>
    <row r="12" spans="1:38" s="48" customFormat="1" ht="13.5" customHeight="1">
      <c r="A12" s="72"/>
      <c r="B12" s="136">
        <v>2</v>
      </c>
      <c r="C12" s="253" t="s">
        <v>57</v>
      </c>
      <c r="D12" s="254"/>
      <c r="E12" s="254"/>
      <c r="F12" s="254"/>
      <c r="G12" s="255"/>
      <c r="H12" s="161" t="s">
        <v>172</v>
      </c>
      <c r="I12" s="162"/>
      <c r="J12" s="162"/>
      <c r="K12" s="162"/>
      <c r="L12" s="162"/>
      <c r="M12" s="162"/>
      <c r="N12" s="162"/>
      <c r="O12" s="162"/>
      <c r="P12" s="163"/>
      <c r="Q12" s="259" t="s">
        <v>139</v>
      </c>
      <c r="R12" s="260"/>
      <c r="S12" s="260"/>
      <c r="T12" s="260"/>
      <c r="U12" s="260"/>
      <c r="V12" s="260"/>
      <c r="W12" s="261"/>
      <c r="X12" s="173" t="s">
        <v>140</v>
      </c>
      <c r="Y12" s="174"/>
      <c r="Z12" s="177" t="s">
        <v>141</v>
      </c>
      <c r="AA12" s="178"/>
      <c r="AB12" s="179"/>
      <c r="AC12" s="177" t="s">
        <v>52</v>
      </c>
      <c r="AD12" s="179"/>
      <c r="AE12" s="183"/>
      <c r="AF12" s="184"/>
      <c r="AG12" s="184"/>
      <c r="AH12" s="184"/>
      <c r="AI12" s="184"/>
      <c r="AJ12" s="184"/>
      <c r="AK12" s="185"/>
      <c r="AL12" s="73"/>
    </row>
    <row r="13" spans="1:38" s="48" customFormat="1" ht="13.5" customHeight="1">
      <c r="A13" s="72"/>
      <c r="B13" s="137"/>
      <c r="C13" s="256"/>
      <c r="D13" s="257"/>
      <c r="E13" s="257"/>
      <c r="F13" s="257"/>
      <c r="G13" s="258"/>
      <c r="H13" s="164"/>
      <c r="I13" s="165"/>
      <c r="J13" s="165"/>
      <c r="K13" s="165"/>
      <c r="L13" s="165"/>
      <c r="M13" s="165"/>
      <c r="N13" s="165"/>
      <c r="O13" s="165"/>
      <c r="P13" s="166"/>
      <c r="Q13" s="262"/>
      <c r="R13" s="263"/>
      <c r="S13" s="263"/>
      <c r="T13" s="263"/>
      <c r="U13" s="263"/>
      <c r="V13" s="263"/>
      <c r="W13" s="264"/>
      <c r="X13" s="175"/>
      <c r="Y13" s="176"/>
      <c r="Z13" s="180"/>
      <c r="AA13" s="181"/>
      <c r="AB13" s="182"/>
      <c r="AC13" s="180"/>
      <c r="AD13" s="182"/>
      <c r="AE13" s="186"/>
      <c r="AF13" s="187"/>
      <c r="AG13" s="187"/>
      <c r="AH13" s="187"/>
      <c r="AI13" s="187"/>
      <c r="AJ13" s="187"/>
      <c r="AK13" s="188"/>
      <c r="AL13" s="73"/>
    </row>
    <row r="14" spans="1:38" s="48" customFormat="1" ht="13.5" customHeight="1">
      <c r="A14" s="72"/>
      <c r="B14" s="136">
        <f>B12+1</f>
        <v>3</v>
      </c>
      <c r="C14" s="253" t="s">
        <v>174</v>
      </c>
      <c r="D14" s="254"/>
      <c r="E14" s="254"/>
      <c r="F14" s="254"/>
      <c r="G14" s="255"/>
      <c r="H14" s="161" t="s">
        <v>175</v>
      </c>
      <c r="I14" s="162"/>
      <c r="J14" s="162"/>
      <c r="K14" s="162"/>
      <c r="L14" s="162"/>
      <c r="M14" s="162"/>
      <c r="N14" s="162"/>
      <c r="O14" s="162"/>
      <c r="P14" s="163"/>
      <c r="Q14" s="259" t="s">
        <v>178</v>
      </c>
      <c r="R14" s="260"/>
      <c r="S14" s="260"/>
      <c r="T14" s="260"/>
      <c r="U14" s="260"/>
      <c r="V14" s="260"/>
      <c r="W14" s="261"/>
      <c r="X14" s="173" t="s">
        <v>40</v>
      </c>
      <c r="Y14" s="174"/>
      <c r="Z14" s="177" t="s">
        <v>180</v>
      </c>
      <c r="AA14" s="178"/>
      <c r="AB14" s="179"/>
      <c r="AC14" s="177" t="s">
        <v>181</v>
      </c>
      <c r="AD14" s="179"/>
      <c r="AE14" s="183"/>
      <c r="AF14" s="184"/>
      <c r="AG14" s="184"/>
      <c r="AH14" s="184"/>
      <c r="AI14" s="184"/>
      <c r="AJ14" s="184"/>
      <c r="AK14" s="185"/>
      <c r="AL14" s="73"/>
    </row>
    <row r="15" spans="1:38" s="48" customFormat="1" ht="13.5" customHeight="1">
      <c r="A15" s="72"/>
      <c r="B15" s="137"/>
      <c r="C15" s="256"/>
      <c r="D15" s="257"/>
      <c r="E15" s="257"/>
      <c r="F15" s="257"/>
      <c r="G15" s="258"/>
      <c r="H15" s="164"/>
      <c r="I15" s="165"/>
      <c r="J15" s="165"/>
      <c r="K15" s="165"/>
      <c r="L15" s="165"/>
      <c r="M15" s="165"/>
      <c r="N15" s="165"/>
      <c r="O15" s="165"/>
      <c r="P15" s="166"/>
      <c r="Q15" s="262"/>
      <c r="R15" s="263"/>
      <c r="S15" s="263"/>
      <c r="T15" s="263"/>
      <c r="U15" s="263"/>
      <c r="V15" s="263"/>
      <c r="W15" s="264"/>
      <c r="X15" s="175"/>
      <c r="Y15" s="176"/>
      <c r="Z15" s="180"/>
      <c r="AA15" s="181"/>
      <c r="AB15" s="182"/>
      <c r="AC15" s="180"/>
      <c r="AD15" s="182"/>
      <c r="AE15" s="186"/>
      <c r="AF15" s="187"/>
      <c r="AG15" s="187"/>
      <c r="AH15" s="187"/>
      <c r="AI15" s="187"/>
      <c r="AJ15" s="187"/>
      <c r="AK15" s="188"/>
      <c r="AL15" s="73"/>
    </row>
    <row r="16" spans="1:38" s="48" customFormat="1" ht="13.5" customHeight="1">
      <c r="A16" s="72"/>
      <c r="B16" s="136">
        <f t="shared" ref="B16" si="0">B14+1</f>
        <v>4</v>
      </c>
      <c r="C16" s="253" t="s">
        <v>176</v>
      </c>
      <c r="D16" s="254"/>
      <c r="E16" s="254"/>
      <c r="F16" s="254"/>
      <c r="G16" s="255"/>
      <c r="H16" s="161" t="s">
        <v>176</v>
      </c>
      <c r="I16" s="162"/>
      <c r="J16" s="162"/>
      <c r="K16" s="162"/>
      <c r="L16" s="162"/>
      <c r="M16" s="162"/>
      <c r="N16" s="162"/>
      <c r="O16" s="162"/>
      <c r="P16" s="163"/>
      <c r="Q16" s="259" t="s">
        <v>177</v>
      </c>
      <c r="R16" s="260"/>
      <c r="S16" s="260"/>
      <c r="T16" s="260"/>
      <c r="U16" s="260"/>
      <c r="V16" s="260"/>
      <c r="W16" s="261"/>
      <c r="X16" s="173" t="s">
        <v>40</v>
      </c>
      <c r="Y16" s="174"/>
      <c r="Z16" s="177" t="s">
        <v>179</v>
      </c>
      <c r="AA16" s="178"/>
      <c r="AB16" s="179"/>
      <c r="AC16" s="177">
        <v>4</v>
      </c>
      <c r="AD16" s="179"/>
      <c r="AE16" s="183"/>
      <c r="AF16" s="184"/>
      <c r="AG16" s="184"/>
      <c r="AH16" s="184"/>
      <c r="AI16" s="184"/>
      <c r="AJ16" s="184"/>
      <c r="AK16" s="185"/>
      <c r="AL16" s="73"/>
    </row>
    <row r="17" spans="1:38" s="48" customFormat="1" ht="13.5" customHeight="1">
      <c r="A17" s="72"/>
      <c r="B17" s="137"/>
      <c r="C17" s="256"/>
      <c r="D17" s="257"/>
      <c r="E17" s="257"/>
      <c r="F17" s="257"/>
      <c r="G17" s="258"/>
      <c r="H17" s="164"/>
      <c r="I17" s="165"/>
      <c r="J17" s="165"/>
      <c r="K17" s="165"/>
      <c r="L17" s="165"/>
      <c r="M17" s="165"/>
      <c r="N17" s="165"/>
      <c r="O17" s="165"/>
      <c r="P17" s="166"/>
      <c r="Q17" s="262"/>
      <c r="R17" s="263"/>
      <c r="S17" s="263"/>
      <c r="T17" s="263"/>
      <c r="U17" s="263"/>
      <c r="V17" s="263"/>
      <c r="W17" s="264"/>
      <c r="X17" s="175"/>
      <c r="Y17" s="176"/>
      <c r="Z17" s="180"/>
      <c r="AA17" s="181"/>
      <c r="AB17" s="182"/>
      <c r="AC17" s="180"/>
      <c r="AD17" s="182"/>
      <c r="AE17" s="186"/>
      <c r="AF17" s="187"/>
      <c r="AG17" s="187"/>
      <c r="AH17" s="187"/>
      <c r="AI17" s="187"/>
      <c r="AJ17" s="187"/>
      <c r="AK17" s="188"/>
      <c r="AL17" s="73"/>
    </row>
    <row r="18" spans="1:38" s="48" customFormat="1" ht="13.5" customHeight="1">
      <c r="A18" s="72"/>
      <c r="B18" s="136">
        <f t="shared" ref="B18" si="1">B16+1</f>
        <v>5</v>
      </c>
      <c r="C18" s="253" t="s">
        <v>173</v>
      </c>
      <c r="D18" s="254"/>
      <c r="E18" s="254"/>
      <c r="F18" s="254"/>
      <c r="G18" s="255"/>
      <c r="H18" s="161" t="s">
        <v>80</v>
      </c>
      <c r="I18" s="162"/>
      <c r="J18" s="162"/>
      <c r="K18" s="162"/>
      <c r="L18" s="162"/>
      <c r="M18" s="162"/>
      <c r="N18" s="162"/>
      <c r="O18" s="162"/>
      <c r="P18" s="163"/>
      <c r="Q18" s="259" t="s">
        <v>51</v>
      </c>
      <c r="R18" s="260"/>
      <c r="S18" s="260"/>
      <c r="T18" s="260"/>
      <c r="U18" s="260"/>
      <c r="V18" s="260"/>
      <c r="W18" s="261"/>
      <c r="X18" s="173" t="s">
        <v>40</v>
      </c>
      <c r="Y18" s="174"/>
      <c r="Z18" s="177" t="s">
        <v>41</v>
      </c>
      <c r="AA18" s="178"/>
      <c r="AB18" s="179"/>
      <c r="AC18" s="177" t="s">
        <v>52</v>
      </c>
      <c r="AD18" s="179"/>
      <c r="AE18" s="183"/>
      <c r="AF18" s="184"/>
      <c r="AG18" s="184"/>
      <c r="AH18" s="184"/>
      <c r="AI18" s="184"/>
      <c r="AJ18" s="184"/>
      <c r="AK18" s="185"/>
      <c r="AL18" s="73"/>
    </row>
    <row r="19" spans="1:38" s="48" customFormat="1" ht="13.5" customHeight="1">
      <c r="A19" s="72"/>
      <c r="B19" s="137"/>
      <c r="C19" s="256"/>
      <c r="D19" s="257"/>
      <c r="E19" s="257"/>
      <c r="F19" s="257"/>
      <c r="G19" s="258"/>
      <c r="H19" s="164"/>
      <c r="I19" s="165"/>
      <c r="J19" s="165"/>
      <c r="K19" s="165"/>
      <c r="L19" s="165"/>
      <c r="M19" s="165"/>
      <c r="N19" s="165"/>
      <c r="O19" s="165"/>
      <c r="P19" s="166"/>
      <c r="Q19" s="262"/>
      <c r="R19" s="263"/>
      <c r="S19" s="263"/>
      <c r="T19" s="263"/>
      <c r="U19" s="263"/>
      <c r="V19" s="263"/>
      <c r="W19" s="264"/>
      <c r="X19" s="175"/>
      <c r="Y19" s="176"/>
      <c r="Z19" s="180"/>
      <c r="AA19" s="181"/>
      <c r="AB19" s="182"/>
      <c r="AC19" s="180"/>
      <c r="AD19" s="182"/>
      <c r="AE19" s="186"/>
      <c r="AF19" s="187"/>
      <c r="AG19" s="187"/>
      <c r="AH19" s="187"/>
      <c r="AI19" s="187"/>
      <c r="AJ19" s="187"/>
      <c r="AK19" s="188"/>
      <c r="AL19" s="73"/>
    </row>
    <row r="20" spans="1:38" s="48" customFormat="1" ht="13.5" customHeight="1">
      <c r="A20" s="72"/>
      <c r="B20" s="63">
        <f t="shared" ref="B20" si="2">B18+1</f>
        <v>6</v>
      </c>
      <c r="C20" s="227" t="s">
        <v>53</v>
      </c>
      <c r="D20" s="228"/>
      <c r="E20" s="228"/>
      <c r="F20" s="228"/>
      <c r="G20" s="229"/>
      <c r="H20" s="195" t="s">
        <v>81</v>
      </c>
      <c r="I20" s="196"/>
      <c r="J20" s="196"/>
      <c r="K20" s="196"/>
      <c r="L20" s="196"/>
      <c r="M20" s="196"/>
      <c r="N20" s="196"/>
      <c r="O20" s="196"/>
      <c r="P20" s="197"/>
      <c r="Q20" s="270" t="s">
        <v>51</v>
      </c>
      <c r="R20" s="234"/>
      <c r="S20" s="234"/>
      <c r="T20" s="234"/>
      <c r="U20" s="234"/>
      <c r="V20" s="234"/>
      <c r="W20" s="235"/>
      <c r="X20" s="240" t="s">
        <v>190</v>
      </c>
      <c r="Y20" s="208"/>
      <c r="Z20" s="211" t="s">
        <v>71</v>
      </c>
      <c r="AA20" s="212"/>
      <c r="AB20" s="213"/>
      <c r="AC20" s="211" t="s">
        <v>79</v>
      </c>
      <c r="AD20" s="213"/>
      <c r="AE20" s="269" t="s">
        <v>74</v>
      </c>
      <c r="AF20" s="218"/>
      <c r="AG20" s="218"/>
      <c r="AH20" s="218"/>
      <c r="AI20" s="218"/>
      <c r="AJ20" s="218"/>
      <c r="AK20" s="219"/>
      <c r="AL20" s="73"/>
    </row>
    <row r="21" spans="1:38" s="48" customFormat="1" ht="13.5" customHeight="1">
      <c r="A21" s="72"/>
      <c r="B21" s="64"/>
      <c r="C21" s="230"/>
      <c r="D21" s="231"/>
      <c r="E21" s="231"/>
      <c r="F21" s="231"/>
      <c r="G21" s="232"/>
      <c r="H21" s="198"/>
      <c r="I21" s="199"/>
      <c r="J21" s="199"/>
      <c r="K21" s="199"/>
      <c r="L21" s="199"/>
      <c r="M21" s="199"/>
      <c r="N21" s="199"/>
      <c r="O21" s="199"/>
      <c r="P21" s="200"/>
      <c r="Q21" s="236"/>
      <c r="R21" s="237"/>
      <c r="S21" s="237"/>
      <c r="T21" s="237"/>
      <c r="U21" s="237"/>
      <c r="V21" s="237"/>
      <c r="W21" s="238"/>
      <c r="X21" s="209"/>
      <c r="Y21" s="210"/>
      <c r="Z21" s="214"/>
      <c r="AA21" s="215"/>
      <c r="AB21" s="216"/>
      <c r="AC21" s="214"/>
      <c r="AD21" s="216"/>
      <c r="AE21" s="220"/>
      <c r="AF21" s="221"/>
      <c r="AG21" s="221"/>
      <c r="AH21" s="221"/>
      <c r="AI21" s="221"/>
      <c r="AJ21" s="221"/>
      <c r="AK21" s="222"/>
      <c r="AL21" s="73"/>
    </row>
    <row r="22" spans="1:38" s="48" customFormat="1" ht="13.5" customHeight="1">
      <c r="A22" s="72"/>
      <c r="B22" s="63">
        <f t="shared" ref="B22:B26" si="3">B20+1</f>
        <v>7</v>
      </c>
      <c r="C22" s="227" t="s">
        <v>54</v>
      </c>
      <c r="D22" s="228"/>
      <c r="E22" s="228"/>
      <c r="F22" s="228"/>
      <c r="G22" s="229"/>
      <c r="H22" s="195" t="s">
        <v>82</v>
      </c>
      <c r="I22" s="196"/>
      <c r="J22" s="196"/>
      <c r="K22" s="196"/>
      <c r="L22" s="196"/>
      <c r="M22" s="196"/>
      <c r="N22" s="196"/>
      <c r="O22" s="196"/>
      <c r="P22" s="197"/>
      <c r="Q22" s="270" t="s">
        <v>51</v>
      </c>
      <c r="R22" s="234"/>
      <c r="S22" s="234"/>
      <c r="T22" s="234"/>
      <c r="U22" s="234"/>
      <c r="V22" s="234"/>
      <c r="W22" s="235"/>
      <c r="X22" s="223" t="s">
        <v>40</v>
      </c>
      <c r="Y22" s="208"/>
      <c r="Z22" s="239" t="s">
        <v>41</v>
      </c>
      <c r="AA22" s="212"/>
      <c r="AB22" s="213"/>
      <c r="AC22" s="211" t="s">
        <v>72</v>
      </c>
      <c r="AD22" s="213"/>
      <c r="AE22" s="217"/>
      <c r="AF22" s="218"/>
      <c r="AG22" s="218"/>
      <c r="AH22" s="218"/>
      <c r="AI22" s="218"/>
      <c r="AJ22" s="218"/>
      <c r="AK22" s="219"/>
      <c r="AL22" s="73"/>
    </row>
    <row r="23" spans="1:38" s="48" customFormat="1" ht="13.5" customHeight="1">
      <c r="A23" s="72"/>
      <c r="B23" s="64"/>
      <c r="C23" s="230"/>
      <c r="D23" s="231"/>
      <c r="E23" s="231"/>
      <c r="F23" s="231"/>
      <c r="G23" s="232"/>
      <c r="H23" s="198"/>
      <c r="I23" s="199"/>
      <c r="J23" s="199"/>
      <c r="K23" s="199"/>
      <c r="L23" s="199"/>
      <c r="M23" s="199"/>
      <c r="N23" s="199"/>
      <c r="O23" s="199"/>
      <c r="P23" s="200"/>
      <c r="Q23" s="236"/>
      <c r="R23" s="237"/>
      <c r="S23" s="237"/>
      <c r="T23" s="237"/>
      <c r="U23" s="237"/>
      <c r="V23" s="237"/>
      <c r="W23" s="238"/>
      <c r="X23" s="209"/>
      <c r="Y23" s="210"/>
      <c r="Z23" s="214"/>
      <c r="AA23" s="215"/>
      <c r="AB23" s="216"/>
      <c r="AC23" s="214"/>
      <c r="AD23" s="216"/>
      <c r="AE23" s="220"/>
      <c r="AF23" s="221"/>
      <c r="AG23" s="221"/>
      <c r="AH23" s="221"/>
      <c r="AI23" s="221"/>
      <c r="AJ23" s="221"/>
      <c r="AK23" s="222"/>
      <c r="AL23" s="73"/>
    </row>
    <row r="24" spans="1:38" s="48" customFormat="1" ht="13.5" customHeight="1">
      <c r="A24" s="72"/>
      <c r="B24" s="136">
        <f t="shared" ref="B24" si="4">B22+1</f>
        <v>8</v>
      </c>
      <c r="C24" s="253" t="s">
        <v>155</v>
      </c>
      <c r="D24" s="254"/>
      <c r="E24" s="254"/>
      <c r="F24" s="254"/>
      <c r="G24" s="255"/>
      <c r="H24" s="161" t="s">
        <v>156</v>
      </c>
      <c r="I24" s="162"/>
      <c r="J24" s="162"/>
      <c r="K24" s="162"/>
      <c r="L24" s="162"/>
      <c r="M24" s="162"/>
      <c r="N24" s="162"/>
      <c r="O24" s="162"/>
      <c r="P24" s="163"/>
      <c r="Q24" s="259" t="s">
        <v>51</v>
      </c>
      <c r="R24" s="260"/>
      <c r="S24" s="260"/>
      <c r="T24" s="260"/>
      <c r="U24" s="260"/>
      <c r="V24" s="260"/>
      <c r="W24" s="261"/>
      <c r="X24" s="311" t="s">
        <v>190</v>
      </c>
      <c r="Y24" s="312"/>
      <c r="Z24" s="177" t="s">
        <v>179</v>
      </c>
      <c r="AA24" s="178"/>
      <c r="AB24" s="179"/>
      <c r="AC24" s="177">
        <v>4</v>
      </c>
      <c r="AD24" s="179"/>
      <c r="AE24" s="183"/>
      <c r="AF24" s="184"/>
      <c r="AG24" s="184"/>
      <c r="AH24" s="184"/>
      <c r="AI24" s="184"/>
      <c r="AJ24" s="184"/>
      <c r="AK24" s="185"/>
      <c r="AL24" s="73"/>
    </row>
    <row r="25" spans="1:38" s="48" customFormat="1" ht="13.5" customHeight="1">
      <c r="A25" s="72"/>
      <c r="B25" s="137"/>
      <c r="C25" s="256"/>
      <c r="D25" s="257"/>
      <c r="E25" s="257"/>
      <c r="F25" s="257"/>
      <c r="G25" s="258"/>
      <c r="H25" s="164"/>
      <c r="I25" s="165"/>
      <c r="J25" s="165"/>
      <c r="K25" s="165"/>
      <c r="L25" s="165"/>
      <c r="M25" s="165"/>
      <c r="N25" s="165"/>
      <c r="O25" s="165"/>
      <c r="P25" s="166"/>
      <c r="Q25" s="262"/>
      <c r="R25" s="263"/>
      <c r="S25" s="263"/>
      <c r="T25" s="263"/>
      <c r="U25" s="263"/>
      <c r="V25" s="263"/>
      <c r="W25" s="264"/>
      <c r="X25" s="313"/>
      <c r="Y25" s="314"/>
      <c r="Z25" s="180"/>
      <c r="AA25" s="181"/>
      <c r="AB25" s="182"/>
      <c r="AC25" s="180"/>
      <c r="AD25" s="182"/>
      <c r="AE25" s="186"/>
      <c r="AF25" s="187"/>
      <c r="AG25" s="187"/>
      <c r="AH25" s="187"/>
      <c r="AI25" s="187"/>
      <c r="AJ25" s="187"/>
      <c r="AK25" s="188"/>
      <c r="AL25" s="73"/>
    </row>
    <row r="26" spans="1:38" s="48" customFormat="1" ht="13.5" customHeight="1">
      <c r="A26" s="72"/>
      <c r="B26" s="265">
        <f t="shared" si="3"/>
        <v>9</v>
      </c>
      <c r="C26" s="227" t="s">
        <v>143</v>
      </c>
      <c r="D26" s="228"/>
      <c r="E26" s="228"/>
      <c r="F26" s="228"/>
      <c r="G26" s="229"/>
      <c r="H26" s="195" t="s">
        <v>144</v>
      </c>
      <c r="I26" s="196"/>
      <c r="J26" s="196"/>
      <c r="K26" s="196"/>
      <c r="L26" s="196"/>
      <c r="M26" s="196"/>
      <c r="N26" s="196"/>
      <c r="O26" s="196"/>
      <c r="P26" s="197"/>
      <c r="Q26" s="241" t="s">
        <v>193</v>
      </c>
      <c r="R26" s="234"/>
      <c r="S26" s="234"/>
      <c r="T26" s="234"/>
      <c r="U26" s="234"/>
      <c r="V26" s="234"/>
      <c r="W26" s="235"/>
      <c r="X26" s="240" t="s">
        <v>51</v>
      </c>
      <c r="Y26" s="208"/>
      <c r="Z26" s="211" t="s">
        <v>38</v>
      </c>
      <c r="AA26" s="212"/>
      <c r="AB26" s="213"/>
      <c r="AC26" s="211">
        <v>1</v>
      </c>
      <c r="AD26" s="213"/>
      <c r="AE26" s="269" t="s">
        <v>145</v>
      </c>
      <c r="AF26" s="218"/>
      <c r="AG26" s="218"/>
      <c r="AH26" s="218"/>
      <c r="AI26" s="218"/>
      <c r="AJ26" s="218"/>
      <c r="AK26" s="219"/>
      <c r="AL26" s="73"/>
    </row>
    <row r="27" spans="1:38" s="48" customFormat="1" ht="13.5" customHeight="1">
      <c r="A27" s="72"/>
      <c r="B27" s="266"/>
      <c r="C27" s="279"/>
      <c r="D27" s="280"/>
      <c r="E27" s="280"/>
      <c r="F27" s="280"/>
      <c r="G27" s="281"/>
      <c r="H27" s="282"/>
      <c r="I27" s="283"/>
      <c r="J27" s="283"/>
      <c r="K27" s="283"/>
      <c r="L27" s="283"/>
      <c r="M27" s="283"/>
      <c r="N27" s="283"/>
      <c r="O27" s="283"/>
      <c r="P27" s="284"/>
      <c r="Q27" s="285"/>
      <c r="R27" s="286"/>
      <c r="S27" s="286"/>
      <c r="T27" s="286"/>
      <c r="U27" s="286"/>
      <c r="V27" s="286"/>
      <c r="W27" s="287"/>
      <c r="X27" s="271"/>
      <c r="Y27" s="272"/>
      <c r="Z27" s="273"/>
      <c r="AA27" s="274"/>
      <c r="AB27" s="275"/>
      <c r="AC27" s="273"/>
      <c r="AD27" s="275"/>
      <c r="AE27" s="276"/>
      <c r="AF27" s="277"/>
      <c r="AG27" s="277"/>
      <c r="AH27" s="277"/>
      <c r="AI27" s="277"/>
      <c r="AJ27" s="277"/>
      <c r="AK27" s="278"/>
      <c r="AL27" s="73"/>
    </row>
    <row r="28" spans="1:38" s="48" customFormat="1" ht="64.25" customHeight="1">
      <c r="A28" s="72"/>
      <c r="B28" s="267"/>
      <c r="C28" s="230"/>
      <c r="D28" s="231"/>
      <c r="E28" s="231"/>
      <c r="F28" s="231"/>
      <c r="G28" s="232"/>
      <c r="H28" s="198"/>
      <c r="I28" s="199"/>
      <c r="J28" s="199"/>
      <c r="K28" s="199"/>
      <c r="L28" s="199"/>
      <c r="M28" s="199"/>
      <c r="N28" s="199"/>
      <c r="O28" s="199"/>
      <c r="P28" s="200"/>
      <c r="Q28" s="236"/>
      <c r="R28" s="237"/>
      <c r="S28" s="237"/>
      <c r="T28" s="237"/>
      <c r="U28" s="237"/>
      <c r="V28" s="237"/>
      <c r="W28" s="238"/>
      <c r="X28" s="209"/>
      <c r="Y28" s="210"/>
      <c r="Z28" s="214"/>
      <c r="AA28" s="215"/>
      <c r="AB28" s="216"/>
      <c r="AC28" s="214"/>
      <c r="AD28" s="216"/>
      <c r="AE28" s="220"/>
      <c r="AF28" s="221"/>
      <c r="AG28" s="221"/>
      <c r="AH28" s="221"/>
      <c r="AI28" s="221"/>
      <c r="AJ28" s="221"/>
      <c r="AK28" s="222"/>
      <c r="AL28" s="73"/>
    </row>
    <row r="29" spans="1:38" s="48" customFormat="1" ht="13.5" customHeight="1">
      <c r="A29" s="72"/>
      <c r="B29" s="63">
        <f>B26+1</f>
        <v>10</v>
      </c>
      <c r="C29" s="227" t="s">
        <v>55</v>
      </c>
      <c r="D29" s="228"/>
      <c r="E29" s="228"/>
      <c r="F29" s="228"/>
      <c r="G29" s="229"/>
      <c r="H29" s="195" t="s">
        <v>83</v>
      </c>
      <c r="I29" s="196"/>
      <c r="J29" s="196"/>
      <c r="K29" s="196"/>
      <c r="L29" s="196"/>
      <c r="M29" s="196"/>
      <c r="N29" s="196"/>
      <c r="O29" s="196"/>
      <c r="P29" s="197"/>
      <c r="Q29" s="270" t="s">
        <v>51</v>
      </c>
      <c r="R29" s="234"/>
      <c r="S29" s="234"/>
      <c r="T29" s="234"/>
      <c r="U29" s="234"/>
      <c r="V29" s="234"/>
      <c r="W29" s="235"/>
      <c r="X29" s="240" t="s">
        <v>51</v>
      </c>
      <c r="Y29" s="208"/>
      <c r="Z29" s="211" t="s">
        <v>71</v>
      </c>
      <c r="AA29" s="212"/>
      <c r="AB29" s="213"/>
      <c r="AC29" s="211" t="s">
        <v>73</v>
      </c>
      <c r="AD29" s="213"/>
      <c r="AE29" s="269" t="s">
        <v>74</v>
      </c>
      <c r="AF29" s="218"/>
      <c r="AG29" s="218"/>
      <c r="AH29" s="218"/>
      <c r="AI29" s="218"/>
      <c r="AJ29" s="218"/>
      <c r="AK29" s="219"/>
      <c r="AL29" s="73"/>
    </row>
    <row r="30" spans="1:38" s="48" customFormat="1" ht="13.5" customHeight="1">
      <c r="A30" s="72"/>
      <c r="B30" s="64"/>
      <c r="C30" s="230"/>
      <c r="D30" s="231"/>
      <c r="E30" s="231"/>
      <c r="F30" s="231"/>
      <c r="G30" s="232"/>
      <c r="H30" s="198"/>
      <c r="I30" s="199"/>
      <c r="J30" s="199"/>
      <c r="K30" s="199"/>
      <c r="L30" s="199"/>
      <c r="M30" s="199"/>
      <c r="N30" s="199"/>
      <c r="O30" s="199"/>
      <c r="P30" s="200"/>
      <c r="Q30" s="236"/>
      <c r="R30" s="237"/>
      <c r="S30" s="237"/>
      <c r="T30" s="237"/>
      <c r="U30" s="237"/>
      <c r="V30" s="237"/>
      <c r="W30" s="238"/>
      <c r="X30" s="209"/>
      <c r="Y30" s="210"/>
      <c r="Z30" s="214"/>
      <c r="AA30" s="215"/>
      <c r="AB30" s="216"/>
      <c r="AC30" s="214"/>
      <c r="AD30" s="216"/>
      <c r="AE30" s="220"/>
      <c r="AF30" s="221"/>
      <c r="AG30" s="221"/>
      <c r="AH30" s="221"/>
      <c r="AI30" s="221"/>
      <c r="AJ30" s="221"/>
      <c r="AK30" s="222"/>
      <c r="AL30" s="73"/>
    </row>
    <row r="31" spans="1:38" s="48" customFormat="1" ht="13.5" customHeight="1">
      <c r="A31" s="72"/>
      <c r="B31" s="63">
        <f t="shared" ref="B31" si="5">B29+1</f>
        <v>11</v>
      </c>
      <c r="C31" s="227" t="s">
        <v>125</v>
      </c>
      <c r="D31" s="228"/>
      <c r="E31" s="228"/>
      <c r="F31" s="228"/>
      <c r="G31" s="229"/>
      <c r="H31" s="195" t="s">
        <v>126</v>
      </c>
      <c r="I31" s="196"/>
      <c r="J31" s="196"/>
      <c r="K31" s="196"/>
      <c r="L31" s="196"/>
      <c r="M31" s="196"/>
      <c r="N31" s="196"/>
      <c r="O31" s="196"/>
      <c r="P31" s="197"/>
      <c r="Q31" s="270" t="s">
        <v>51</v>
      </c>
      <c r="R31" s="234"/>
      <c r="S31" s="234"/>
      <c r="T31" s="234"/>
      <c r="U31" s="234"/>
      <c r="V31" s="234"/>
      <c r="W31" s="235"/>
      <c r="X31" s="240" t="s">
        <v>51</v>
      </c>
      <c r="Y31" s="208"/>
      <c r="Z31" s="211" t="s">
        <v>71</v>
      </c>
      <c r="AA31" s="212"/>
      <c r="AB31" s="213"/>
      <c r="AC31" s="211" t="s">
        <v>73</v>
      </c>
      <c r="AD31" s="213"/>
      <c r="AE31" s="269" t="s">
        <v>74</v>
      </c>
      <c r="AF31" s="218"/>
      <c r="AG31" s="218"/>
      <c r="AH31" s="218"/>
      <c r="AI31" s="218"/>
      <c r="AJ31" s="218"/>
      <c r="AK31" s="219"/>
      <c r="AL31" s="73"/>
    </row>
    <row r="32" spans="1:38" s="48" customFormat="1" ht="13.5" customHeight="1">
      <c r="A32" s="72"/>
      <c r="B32" s="64"/>
      <c r="C32" s="230"/>
      <c r="D32" s="231"/>
      <c r="E32" s="231"/>
      <c r="F32" s="231"/>
      <c r="G32" s="232"/>
      <c r="H32" s="198"/>
      <c r="I32" s="199"/>
      <c r="J32" s="199"/>
      <c r="K32" s="199"/>
      <c r="L32" s="199"/>
      <c r="M32" s="199"/>
      <c r="N32" s="199"/>
      <c r="O32" s="199"/>
      <c r="P32" s="200"/>
      <c r="Q32" s="236"/>
      <c r="R32" s="237"/>
      <c r="S32" s="237"/>
      <c r="T32" s="237"/>
      <c r="U32" s="237"/>
      <c r="V32" s="237"/>
      <c r="W32" s="238"/>
      <c r="X32" s="209"/>
      <c r="Y32" s="210"/>
      <c r="Z32" s="214"/>
      <c r="AA32" s="215"/>
      <c r="AB32" s="216"/>
      <c r="AC32" s="214"/>
      <c r="AD32" s="216"/>
      <c r="AE32" s="220"/>
      <c r="AF32" s="221"/>
      <c r="AG32" s="221"/>
      <c r="AH32" s="221"/>
      <c r="AI32" s="221"/>
      <c r="AJ32" s="221"/>
      <c r="AK32" s="222"/>
      <c r="AL32" s="73"/>
    </row>
    <row r="33" spans="1:38" s="48" customFormat="1" ht="13.5" customHeight="1">
      <c r="A33" s="72"/>
      <c r="B33" s="136">
        <f>B31+1</f>
        <v>12</v>
      </c>
      <c r="C33" s="253" t="s">
        <v>158</v>
      </c>
      <c r="D33" s="254"/>
      <c r="E33" s="254"/>
      <c r="F33" s="254"/>
      <c r="G33" s="255"/>
      <c r="H33" s="161" t="s">
        <v>159</v>
      </c>
      <c r="I33" s="162"/>
      <c r="J33" s="162"/>
      <c r="K33" s="162"/>
      <c r="L33" s="162"/>
      <c r="M33" s="162"/>
      <c r="N33" s="162"/>
      <c r="O33" s="162"/>
      <c r="P33" s="163"/>
      <c r="Q33" s="259" t="s">
        <v>51</v>
      </c>
      <c r="R33" s="260"/>
      <c r="S33" s="260"/>
      <c r="T33" s="260"/>
      <c r="U33" s="260"/>
      <c r="V33" s="260"/>
      <c r="W33" s="261"/>
      <c r="X33" s="268" t="s">
        <v>51</v>
      </c>
      <c r="Y33" s="174"/>
      <c r="Z33" s="177" t="s">
        <v>41</v>
      </c>
      <c r="AA33" s="178"/>
      <c r="AB33" s="179"/>
      <c r="AC33" s="177" t="s">
        <v>77</v>
      </c>
      <c r="AD33" s="179"/>
      <c r="AE33" s="183"/>
      <c r="AF33" s="184"/>
      <c r="AG33" s="184"/>
      <c r="AH33" s="184"/>
      <c r="AI33" s="184"/>
      <c r="AJ33" s="184"/>
      <c r="AK33" s="185"/>
      <c r="AL33" s="73"/>
    </row>
    <row r="34" spans="1:38" s="48" customFormat="1" ht="13.5" customHeight="1">
      <c r="A34" s="72"/>
      <c r="B34" s="137"/>
      <c r="C34" s="256"/>
      <c r="D34" s="257"/>
      <c r="E34" s="257"/>
      <c r="F34" s="257"/>
      <c r="G34" s="258"/>
      <c r="H34" s="164"/>
      <c r="I34" s="165"/>
      <c r="J34" s="165"/>
      <c r="K34" s="165"/>
      <c r="L34" s="165"/>
      <c r="M34" s="165"/>
      <c r="N34" s="165"/>
      <c r="O34" s="165"/>
      <c r="P34" s="166"/>
      <c r="Q34" s="262"/>
      <c r="R34" s="263"/>
      <c r="S34" s="263"/>
      <c r="T34" s="263"/>
      <c r="U34" s="263"/>
      <c r="V34" s="263"/>
      <c r="W34" s="264"/>
      <c r="X34" s="175"/>
      <c r="Y34" s="176"/>
      <c r="Z34" s="180"/>
      <c r="AA34" s="181"/>
      <c r="AB34" s="182"/>
      <c r="AC34" s="180"/>
      <c r="AD34" s="182"/>
      <c r="AE34" s="186"/>
      <c r="AF34" s="187"/>
      <c r="AG34" s="187"/>
      <c r="AH34" s="187"/>
      <c r="AI34" s="187"/>
      <c r="AJ34" s="187"/>
      <c r="AK34" s="188"/>
      <c r="AL34" s="73"/>
    </row>
    <row r="35" spans="1:38" s="48" customFormat="1" ht="13.5" customHeight="1">
      <c r="A35" s="72"/>
      <c r="B35" s="63">
        <f t="shared" ref="B35" si="6">B33+1</f>
        <v>13</v>
      </c>
      <c r="C35" s="227" t="s">
        <v>56</v>
      </c>
      <c r="D35" s="228"/>
      <c r="E35" s="228"/>
      <c r="F35" s="228"/>
      <c r="G35" s="229"/>
      <c r="H35" s="195" t="s">
        <v>84</v>
      </c>
      <c r="I35" s="196"/>
      <c r="J35" s="196"/>
      <c r="K35" s="196"/>
      <c r="L35" s="196"/>
      <c r="M35" s="196"/>
      <c r="N35" s="196"/>
      <c r="O35" s="196"/>
      <c r="P35" s="197"/>
      <c r="Q35" s="270" t="s">
        <v>51</v>
      </c>
      <c r="R35" s="234"/>
      <c r="S35" s="234"/>
      <c r="T35" s="234"/>
      <c r="U35" s="234"/>
      <c r="V35" s="234"/>
      <c r="W35" s="235"/>
      <c r="X35" s="240" t="s">
        <v>51</v>
      </c>
      <c r="Y35" s="208"/>
      <c r="Z35" s="239" t="s">
        <v>41</v>
      </c>
      <c r="AA35" s="212"/>
      <c r="AB35" s="213"/>
      <c r="AC35" s="211" t="s">
        <v>77</v>
      </c>
      <c r="AD35" s="213"/>
      <c r="AE35" s="217"/>
      <c r="AF35" s="218"/>
      <c r="AG35" s="218"/>
      <c r="AH35" s="218"/>
      <c r="AI35" s="218"/>
      <c r="AJ35" s="218"/>
      <c r="AK35" s="219"/>
      <c r="AL35" s="73"/>
    </row>
    <row r="36" spans="1:38" s="48" customFormat="1" ht="13.5" customHeight="1">
      <c r="A36" s="72"/>
      <c r="B36" s="64"/>
      <c r="C36" s="230"/>
      <c r="D36" s="231"/>
      <c r="E36" s="231"/>
      <c r="F36" s="231"/>
      <c r="G36" s="232"/>
      <c r="H36" s="198"/>
      <c r="I36" s="199"/>
      <c r="J36" s="199"/>
      <c r="K36" s="199"/>
      <c r="L36" s="199"/>
      <c r="M36" s="199"/>
      <c r="N36" s="199"/>
      <c r="O36" s="199"/>
      <c r="P36" s="200"/>
      <c r="Q36" s="236"/>
      <c r="R36" s="237"/>
      <c r="S36" s="237"/>
      <c r="T36" s="237"/>
      <c r="U36" s="237"/>
      <c r="V36" s="237"/>
      <c r="W36" s="238"/>
      <c r="X36" s="209"/>
      <c r="Y36" s="210"/>
      <c r="Z36" s="214"/>
      <c r="AA36" s="215"/>
      <c r="AB36" s="216"/>
      <c r="AC36" s="214"/>
      <c r="AD36" s="216"/>
      <c r="AE36" s="220"/>
      <c r="AF36" s="221"/>
      <c r="AG36" s="221"/>
      <c r="AH36" s="221"/>
      <c r="AI36" s="221"/>
      <c r="AJ36" s="221"/>
      <c r="AK36" s="222"/>
      <c r="AL36" s="73"/>
    </row>
    <row r="37" spans="1:38" s="48" customFormat="1" ht="13.5" customHeight="1">
      <c r="A37" s="72"/>
      <c r="B37" s="63">
        <f t="shared" ref="B37" si="7">B35+1</f>
        <v>14</v>
      </c>
      <c r="C37" s="227" t="s">
        <v>58</v>
      </c>
      <c r="D37" s="228"/>
      <c r="E37" s="228"/>
      <c r="F37" s="228"/>
      <c r="G37" s="229"/>
      <c r="H37" s="195" t="s">
        <v>85</v>
      </c>
      <c r="I37" s="196"/>
      <c r="J37" s="196"/>
      <c r="K37" s="196"/>
      <c r="L37" s="196"/>
      <c r="M37" s="196"/>
      <c r="N37" s="196"/>
      <c r="O37" s="196"/>
      <c r="P37" s="197"/>
      <c r="Q37" s="270" t="s">
        <v>51</v>
      </c>
      <c r="R37" s="234"/>
      <c r="S37" s="234"/>
      <c r="T37" s="234"/>
      <c r="U37" s="234"/>
      <c r="V37" s="234"/>
      <c r="W37" s="235"/>
      <c r="X37" s="223" t="s">
        <v>40</v>
      </c>
      <c r="Y37" s="208"/>
      <c r="Z37" s="211" t="s">
        <v>38</v>
      </c>
      <c r="AA37" s="212"/>
      <c r="AB37" s="213"/>
      <c r="AC37" s="211" t="s">
        <v>78</v>
      </c>
      <c r="AD37" s="213"/>
      <c r="AE37" s="217"/>
      <c r="AF37" s="218"/>
      <c r="AG37" s="218"/>
      <c r="AH37" s="218"/>
      <c r="AI37" s="218"/>
      <c r="AJ37" s="218"/>
      <c r="AK37" s="219"/>
      <c r="AL37" s="73"/>
    </row>
    <row r="38" spans="1:38" s="48" customFormat="1" ht="13.5" customHeight="1">
      <c r="A38" s="72"/>
      <c r="B38" s="64"/>
      <c r="C38" s="230"/>
      <c r="D38" s="231"/>
      <c r="E38" s="231"/>
      <c r="F38" s="231"/>
      <c r="G38" s="232"/>
      <c r="H38" s="198"/>
      <c r="I38" s="199"/>
      <c r="J38" s="199"/>
      <c r="K38" s="199"/>
      <c r="L38" s="199"/>
      <c r="M38" s="199"/>
      <c r="N38" s="199"/>
      <c r="O38" s="199"/>
      <c r="P38" s="200"/>
      <c r="Q38" s="236"/>
      <c r="R38" s="237"/>
      <c r="S38" s="237"/>
      <c r="T38" s="237"/>
      <c r="U38" s="237"/>
      <c r="V38" s="237"/>
      <c r="W38" s="238"/>
      <c r="X38" s="209"/>
      <c r="Y38" s="210"/>
      <c r="Z38" s="214"/>
      <c r="AA38" s="215"/>
      <c r="AB38" s="216"/>
      <c r="AC38" s="214"/>
      <c r="AD38" s="216"/>
      <c r="AE38" s="220"/>
      <c r="AF38" s="221"/>
      <c r="AG38" s="221"/>
      <c r="AH38" s="221"/>
      <c r="AI38" s="221"/>
      <c r="AJ38" s="221"/>
      <c r="AK38" s="222"/>
      <c r="AL38" s="73"/>
    </row>
    <row r="39" spans="1:38" s="48" customFormat="1" ht="13.5" customHeight="1">
      <c r="A39" s="72"/>
      <c r="B39" s="63">
        <f t="shared" ref="B39" si="8">B37+1</f>
        <v>15</v>
      </c>
      <c r="C39" s="227" t="s">
        <v>59</v>
      </c>
      <c r="D39" s="228"/>
      <c r="E39" s="228"/>
      <c r="F39" s="228"/>
      <c r="G39" s="229"/>
      <c r="H39" s="195" t="s">
        <v>85</v>
      </c>
      <c r="I39" s="196"/>
      <c r="J39" s="196"/>
      <c r="K39" s="196"/>
      <c r="L39" s="196"/>
      <c r="M39" s="196"/>
      <c r="N39" s="196"/>
      <c r="O39" s="196"/>
      <c r="P39" s="197"/>
      <c r="Q39" s="270" t="s">
        <v>51</v>
      </c>
      <c r="R39" s="234"/>
      <c r="S39" s="234"/>
      <c r="T39" s="234"/>
      <c r="U39" s="234"/>
      <c r="V39" s="234"/>
      <c r="W39" s="235"/>
      <c r="X39" s="223" t="s">
        <v>40</v>
      </c>
      <c r="Y39" s="208"/>
      <c r="Z39" s="211" t="s">
        <v>38</v>
      </c>
      <c r="AA39" s="212"/>
      <c r="AB39" s="213"/>
      <c r="AC39" s="211" t="s">
        <v>78</v>
      </c>
      <c r="AD39" s="213"/>
      <c r="AE39" s="217"/>
      <c r="AF39" s="218"/>
      <c r="AG39" s="218"/>
      <c r="AH39" s="218"/>
      <c r="AI39" s="218"/>
      <c r="AJ39" s="218"/>
      <c r="AK39" s="219"/>
      <c r="AL39" s="73"/>
    </row>
    <row r="40" spans="1:38" s="48" customFormat="1" ht="13.5" customHeight="1">
      <c r="A40" s="72"/>
      <c r="B40" s="64"/>
      <c r="C40" s="230"/>
      <c r="D40" s="231"/>
      <c r="E40" s="231"/>
      <c r="F40" s="231"/>
      <c r="G40" s="232"/>
      <c r="H40" s="198"/>
      <c r="I40" s="199"/>
      <c r="J40" s="199"/>
      <c r="K40" s="199"/>
      <c r="L40" s="199"/>
      <c r="M40" s="199"/>
      <c r="N40" s="199"/>
      <c r="O40" s="199"/>
      <c r="P40" s="200"/>
      <c r="Q40" s="236"/>
      <c r="R40" s="237"/>
      <c r="S40" s="237"/>
      <c r="T40" s="237"/>
      <c r="U40" s="237"/>
      <c r="V40" s="237"/>
      <c r="W40" s="238"/>
      <c r="X40" s="209"/>
      <c r="Y40" s="210"/>
      <c r="Z40" s="214"/>
      <c r="AA40" s="215"/>
      <c r="AB40" s="216"/>
      <c r="AC40" s="214"/>
      <c r="AD40" s="216"/>
      <c r="AE40" s="220"/>
      <c r="AF40" s="221"/>
      <c r="AG40" s="221"/>
      <c r="AH40" s="221"/>
      <c r="AI40" s="221"/>
      <c r="AJ40" s="221"/>
      <c r="AK40" s="222"/>
      <c r="AL40" s="73"/>
    </row>
    <row r="41" spans="1:38" s="48" customFormat="1" ht="13.5" customHeight="1">
      <c r="A41" s="72"/>
      <c r="B41" s="63">
        <f t="shared" ref="B41" si="9">B39+1</f>
        <v>16</v>
      </c>
      <c r="C41" s="227" t="s">
        <v>60</v>
      </c>
      <c r="D41" s="228"/>
      <c r="E41" s="228"/>
      <c r="F41" s="228"/>
      <c r="G41" s="229"/>
      <c r="H41" s="195" t="s">
        <v>85</v>
      </c>
      <c r="I41" s="196"/>
      <c r="J41" s="196"/>
      <c r="K41" s="196"/>
      <c r="L41" s="196"/>
      <c r="M41" s="196"/>
      <c r="N41" s="196"/>
      <c r="O41" s="196"/>
      <c r="P41" s="197"/>
      <c r="Q41" s="270" t="s">
        <v>51</v>
      </c>
      <c r="R41" s="234"/>
      <c r="S41" s="234"/>
      <c r="T41" s="234"/>
      <c r="U41" s="234"/>
      <c r="V41" s="234"/>
      <c r="W41" s="235"/>
      <c r="X41" s="223" t="s">
        <v>40</v>
      </c>
      <c r="Y41" s="208"/>
      <c r="Z41" s="211" t="s">
        <v>38</v>
      </c>
      <c r="AA41" s="212"/>
      <c r="AB41" s="213"/>
      <c r="AC41" s="211" t="s">
        <v>78</v>
      </c>
      <c r="AD41" s="213"/>
      <c r="AE41" s="217"/>
      <c r="AF41" s="218"/>
      <c r="AG41" s="218"/>
      <c r="AH41" s="218"/>
      <c r="AI41" s="218"/>
      <c r="AJ41" s="218"/>
      <c r="AK41" s="219"/>
      <c r="AL41" s="73"/>
    </row>
    <row r="42" spans="1:38" s="48" customFormat="1" ht="13.5" customHeight="1">
      <c r="A42" s="72"/>
      <c r="B42" s="64"/>
      <c r="C42" s="230"/>
      <c r="D42" s="231"/>
      <c r="E42" s="231"/>
      <c r="F42" s="231"/>
      <c r="G42" s="232"/>
      <c r="H42" s="198"/>
      <c r="I42" s="199"/>
      <c r="J42" s="199"/>
      <c r="K42" s="199"/>
      <c r="L42" s="199"/>
      <c r="M42" s="199"/>
      <c r="N42" s="199"/>
      <c r="O42" s="199"/>
      <c r="P42" s="200"/>
      <c r="Q42" s="236"/>
      <c r="R42" s="237"/>
      <c r="S42" s="237"/>
      <c r="T42" s="237"/>
      <c r="U42" s="237"/>
      <c r="V42" s="237"/>
      <c r="W42" s="238"/>
      <c r="X42" s="209"/>
      <c r="Y42" s="210"/>
      <c r="Z42" s="214"/>
      <c r="AA42" s="215"/>
      <c r="AB42" s="216"/>
      <c r="AC42" s="214"/>
      <c r="AD42" s="216"/>
      <c r="AE42" s="220"/>
      <c r="AF42" s="221"/>
      <c r="AG42" s="221"/>
      <c r="AH42" s="221"/>
      <c r="AI42" s="221"/>
      <c r="AJ42" s="221"/>
      <c r="AK42" s="222"/>
      <c r="AL42" s="73"/>
    </row>
    <row r="43" spans="1:38" s="62" customFormat="1" ht="13.5" customHeight="1">
      <c r="A43" s="72"/>
      <c r="B43" s="97"/>
      <c r="C43" s="98"/>
      <c r="D43" s="98"/>
      <c r="E43" s="98"/>
      <c r="F43" s="98"/>
      <c r="G43" s="98"/>
      <c r="H43" s="87"/>
      <c r="I43" s="85"/>
      <c r="J43" s="85"/>
      <c r="K43" s="85"/>
      <c r="L43" s="85"/>
      <c r="M43" s="85"/>
      <c r="N43" s="85"/>
      <c r="O43" s="85"/>
      <c r="P43" s="85"/>
      <c r="Q43" s="134"/>
      <c r="R43" s="134"/>
      <c r="S43" s="134"/>
      <c r="T43" s="134"/>
      <c r="U43" s="134"/>
      <c r="V43" s="134"/>
      <c r="W43" s="134"/>
      <c r="X43" s="93"/>
      <c r="Y43" s="93"/>
      <c r="Z43" s="86"/>
      <c r="AA43" s="86"/>
      <c r="AB43" s="86"/>
      <c r="AC43" s="86"/>
      <c r="AD43" s="86"/>
      <c r="AE43" s="87"/>
      <c r="AF43" s="87"/>
      <c r="AG43" s="87"/>
      <c r="AH43" s="87"/>
      <c r="AI43" s="87"/>
      <c r="AJ43" s="87"/>
      <c r="AK43" s="87"/>
      <c r="AL43" s="73"/>
    </row>
    <row r="44" spans="1:38" s="40" customFormat="1" ht="13.5" customHeight="1">
      <c r="A44" s="69"/>
      <c r="B44" s="135"/>
      <c r="C44" s="132"/>
      <c r="D44" s="132"/>
      <c r="E44" s="132"/>
      <c r="F44" s="132"/>
      <c r="G44" s="132"/>
      <c r="H44" s="132"/>
      <c r="I44" s="70"/>
      <c r="J44" s="70"/>
      <c r="K44" s="70"/>
      <c r="L44" s="70"/>
      <c r="M44" s="70"/>
      <c r="N44" s="70"/>
      <c r="O44" s="70"/>
      <c r="P44" s="70"/>
      <c r="Q44" s="70"/>
      <c r="R44" s="70"/>
      <c r="S44" s="70"/>
      <c r="T44" s="70"/>
      <c r="U44" s="70"/>
      <c r="V44" s="70"/>
      <c r="W44" s="70"/>
      <c r="X44" s="70"/>
      <c r="Y44" s="70"/>
      <c r="Z44" s="70"/>
      <c r="AA44" s="70"/>
      <c r="AB44" s="70"/>
      <c r="AC44" s="70"/>
      <c r="AD44" s="70"/>
      <c r="AE44" s="70"/>
      <c r="AF44" s="70"/>
      <c r="AG44" s="70"/>
      <c r="AH44" s="70"/>
      <c r="AI44" s="70"/>
      <c r="AJ44" s="70"/>
      <c r="AK44" s="70"/>
      <c r="AL44" s="94"/>
    </row>
    <row r="45" spans="1:38" s="40" customFormat="1" ht="13.5" customHeight="1">
      <c r="A45" s="67"/>
      <c r="B45" s="92"/>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73"/>
    </row>
    <row r="46" spans="1:38" s="40" customFormat="1" ht="13.5" customHeight="1">
      <c r="A46" s="67"/>
      <c r="B46" s="41" t="s">
        <v>120</v>
      </c>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68"/>
    </row>
    <row r="47" spans="1:38" s="40" customFormat="1" ht="13.5" customHeight="1">
      <c r="A47" s="67"/>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68"/>
    </row>
    <row r="48" spans="1:38" s="40" customFormat="1" ht="13.5" customHeight="1">
      <c r="A48" s="67"/>
      <c r="B48" s="42" t="s">
        <v>29</v>
      </c>
      <c r="C48" s="43" t="s">
        <v>7</v>
      </c>
      <c r="D48" s="44"/>
      <c r="E48" s="45"/>
      <c r="F48" s="45"/>
      <c r="G48" s="46"/>
      <c r="H48" s="44" t="s">
        <v>21</v>
      </c>
      <c r="I48" s="45"/>
      <c r="J48" s="45"/>
      <c r="K48" s="45"/>
      <c r="L48" s="45"/>
      <c r="M48" s="45"/>
      <c r="N48" s="45"/>
      <c r="O48" s="45"/>
      <c r="P48" s="46"/>
      <c r="Q48" s="44" t="s">
        <v>30</v>
      </c>
      <c r="R48" s="45"/>
      <c r="S48" s="45"/>
      <c r="T48" s="45"/>
      <c r="U48" s="45"/>
      <c r="V48" s="46"/>
      <c r="W48" s="46"/>
      <c r="X48" s="44" t="s">
        <v>31</v>
      </c>
      <c r="Y48" s="46"/>
      <c r="Z48" s="44" t="s">
        <v>22</v>
      </c>
      <c r="AA48" s="46"/>
      <c r="AB48" s="44"/>
      <c r="AC48" s="44" t="s">
        <v>32</v>
      </c>
      <c r="AD48" s="47"/>
      <c r="AE48" s="47" t="s">
        <v>35</v>
      </c>
      <c r="AF48" s="45"/>
      <c r="AG48" s="45"/>
      <c r="AH48" s="45"/>
      <c r="AI48" s="45"/>
      <c r="AJ48" s="45"/>
      <c r="AK48" s="46"/>
      <c r="AL48" s="68"/>
    </row>
    <row r="49" spans="1:38" s="48" customFormat="1" ht="13.5" customHeight="1">
      <c r="A49" s="72"/>
      <c r="B49" s="63">
        <f>B41+1</f>
        <v>17</v>
      </c>
      <c r="C49" s="227" t="s">
        <v>61</v>
      </c>
      <c r="D49" s="228"/>
      <c r="E49" s="228"/>
      <c r="F49" s="228"/>
      <c r="G49" s="229"/>
      <c r="H49" s="195" t="s">
        <v>85</v>
      </c>
      <c r="I49" s="196"/>
      <c r="J49" s="196"/>
      <c r="K49" s="196"/>
      <c r="L49" s="196"/>
      <c r="M49" s="196"/>
      <c r="N49" s="196"/>
      <c r="O49" s="196"/>
      <c r="P49" s="197"/>
      <c r="Q49" s="270" t="s">
        <v>51</v>
      </c>
      <c r="R49" s="234"/>
      <c r="S49" s="234"/>
      <c r="T49" s="234"/>
      <c r="U49" s="234"/>
      <c r="V49" s="234"/>
      <c r="W49" s="235"/>
      <c r="X49" s="223" t="s">
        <v>40</v>
      </c>
      <c r="Y49" s="208"/>
      <c r="Z49" s="211" t="s">
        <v>38</v>
      </c>
      <c r="AA49" s="212"/>
      <c r="AB49" s="213"/>
      <c r="AC49" s="211" t="s">
        <v>78</v>
      </c>
      <c r="AD49" s="213"/>
      <c r="AE49" s="217"/>
      <c r="AF49" s="218"/>
      <c r="AG49" s="218"/>
      <c r="AH49" s="218"/>
      <c r="AI49" s="218"/>
      <c r="AJ49" s="218"/>
      <c r="AK49" s="219"/>
      <c r="AL49" s="73"/>
    </row>
    <row r="50" spans="1:38" s="48" customFormat="1" ht="13.5" customHeight="1">
      <c r="A50" s="72"/>
      <c r="B50" s="64"/>
      <c r="C50" s="230"/>
      <c r="D50" s="231"/>
      <c r="E50" s="231"/>
      <c r="F50" s="231"/>
      <c r="G50" s="232"/>
      <c r="H50" s="198"/>
      <c r="I50" s="199"/>
      <c r="J50" s="199"/>
      <c r="K50" s="199"/>
      <c r="L50" s="199"/>
      <c r="M50" s="199"/>
      <c r="N50" s="199"/>
      <c r="O50" s="199"/>
      <c r="P50" s="200"/>
      <c r="Q50" s="236"/>
      <c r="R50" s="237"/>
      <c r="S50" s="237"/>
      <c r="T50" s="237"/>
      <c r="U50" s="237"/>
      <c r="V50" s="237"/>
      <c r="W50" s="238"/>
      <c r="X50" s="209"/>
      <c r="Y50" s="210"/>
      <c r="Z50" s="214"/>
      <c r="AA50" s="215"/>
      <c r="AB50" s="216"/>
      <c r="AC50" s="214"/>
      <c r="AD50" s="216"/>
      <c r="AE50" s="220"/>
      <c r="AF50" s="221"/>
      <c r="AG50" s="221"/>
      <c r="AH50" s="221"/>
      <c r="AI50" s="221"/>
      <c r="AJ50" s="221"/>
      <c r="AK50" s="222"/>
      <c r="AL50" s="73"/>
    </row>
    <row r="51" spans="1:38" s="48" customFormat="1" ht="13.5" customHeight="1">
      <c r="A51" s="72"/>
      <c r="B51" s="63">
        <f t="shared" ref="B51" si="10">B49+1</f>
        <v>18</v>
      </c>
      <c r="C51" s="227" t="s">
        <v>62</v>
      </c>
      <c r="D51" s="228"/>
      <c r="E51" s="228"/>
      <c r="F51" s="228"/>
      <c r="G51" s="229"/>
      <c r="H51" s="195" t="s">
        <v>85</v>
      </c>
      <c r="I51" s="196"/>
      <c r="J51" s="196"/>
      <c r="K51" s="196"/>
      <c r="L51" s="196"/>
      <c r="M51" s="196"/>
      <c r="N51" s="196"/>
      <c r="O51" s="196"/>
      <c r="P51" s="197"/>
      <c r="Q51" s="270" t="s">
        <v>51</v>
      </c>
      <c r="R51" s="234"/>
      <c r="S51" s="234"/>
      <c r="T51" s="234"/>
      <c r="U51" s="234"/>
      <c r="V51" s="234"/>
      <c r="W51" s="235"/>
      <c r="X51" s="223" t="s">
        <v>40</v>
      </c>
      <c r="Y51" s="208"/>
      <c r="Z51" s="211" t="s">
        <v>38</v>
      </c>
      <c r="AA51" s="212"/>
      <c r="AB51" s="213"/>
      <c r="AC51" s="211" t="s">
        <v>78</v>
      </c>
      <c r="AD51" s="213"/>
      <c r="AE51" s="217"/>
      <c r="AF51" s="218"/>
      <c r="AG51" s="218"/>
      <c r="AH51" s="218"/>
      <c r="AI51" s="218"/>
      <c r="AJ51" s="218"/>
      <c r="AK51" s="219"/>
      <c r="AL51" s="73"/>
    </row>
    <row r="52" spans="1:38" s="48" customFormat="1" ht="13.5" customHeight="1">
      <c r="A52" s="72"/>
      <c r="B52" s="64"/>
      <c r="C52" s="230"/>
      <c r="D52" s="231"/>
      <c r="E52" s="231"/>
      <c r="F52" s="231"/>
      <c r="G52" s="232"/>
      <c r="H52" s="198"/>
      <c r="I52" s="199"/>
      <c r="J52" s="199"/>
      <c r="K52" s="199"/>
      <c r="L52" s="199"/>
      <c r="M52" s="199"/>
      <c r="N52" s="199"/>
      <c r="O52" s="199"/>
      <c r="P52" s="200"/>
      <c r="Q52" s="236"/>
      <c r="R52" s="237"/>
      <c r="S52" s="237"/>
      <c r="T52" s="237"/>
      <c r="U52" s="237"/>
      <c r="V52" s="237"/>
      <c r="W52" s="238"/>
      <c r="X52" s="209"/>
      <c r="Y52" s="210"/>
      <c r="Z52" s="214"/>
      <c r="AA52" s="215"/>
      <c r="AB52" s="216"/>
      <c r="AC52" s="214"/>
      <c r="AD52" s="216"/>
      <c r="AE52" s="220"/>
      <c r="AF52" s="221"/>
      <c r="AG52" s="221"/>
      <c r="AH52" s="221"/>
      <c r="AI52" s="221"/>
      <c r="AJ52" s="221"/>
      <c r="AK52" s="222"/>
      <c r="AL52" s="73"/>
    </row>
    <row r="53" spans="1:38" s="48" customFormat="1" ht="13.5" customHeight="1">
      <c r="A53" s="72"/>
      <c r="B53" s="63">
        <f>B51+1</f>
        <v>19</v>
      </c>
      <c r="C53" s="227" t="s">
        <v>63</v>
      </c>
      <c r="D53" s="228"/>
      <c r="E53" s="228"/>
      <c r="F53" s="228"/>
      <c r="G53" s="229"/>
      <c r="H53" s="195" t="s">
        <v>85</v>
      </c>
      <c r="I53" s="196"/>
      <c r="J53" s="196"/>
      <c r="K53" s="196"/>
      <c r="L53" s="196"/>
      <c r="M53" s="196"/>
      <c r="N53" s="196"/>
      <c r="O53" s="196"/>
      <c r="P53" s="197"/>
      <c r="Q53" s="270" t="s">
        <v>51</v>
      </c>
      <c r="R53" s="234"/>
      <c r="S53" s="234"/>
      <c r="T53" s="234"/>
      <c r="U53" s="234"/>
      <c r="V53" s="234"/>
      <c r="W53" s="235"/>
      <c r="X53" s="223" t="s">
        <v>40</v>
      </c>
      <c r="Y53" s="208"/>
      <c r="Z53" s="211" t="s">
        <v>38</v>
      </c>
      <c r="AA53" s="212"/>
      <c r="AB53" s="213"/>
      <c r="AC53" s="211" t="s">
        <v>78</v>
      </c>
      <c r="AD53" s="213"/>
      <c r="AE53" s="217"/>
      <c r="AF53" s="218"/>
      <c r="AG53" s="218"/>
      <c r="AH53" s="218"/>
      <c r="AI53" s="218"/>
      <c r="AJ53" s="218"/>
      <c r="AK53" s="219"/>
      <c r="AL53" s="73"/>
    </row>
    <row r="54" spans="1:38" s="48" customFormat="1" ht="13.5" customHeight="1">
      <c r="A54" s="72"/>
      <c r="B54" s="64"/>
      <c r="C54" s="230"/>
      <c r="D54" s="231"/>
      <c r="E54" s="231"/>
      <c r="F54" s="231"/>
      <c r="G54" s="232"/>
      <c r="H54" s="198"/>
      <c r="I54" s="199"/>
      <c r="J54" s="199"/>
      <c r="K54" s="199"/>
      <c r="L54" s="199"/>
      <c r="M54" s="199"/>
      <c r="N54" s="199"/>
      <c r="O54" s="199"/>
      <c r="P54" s="200"/>
      <c r="Q54" s="236"/>
      <c r="R54" s="237"/>
      <c r="S54" s="237"/>
      <c r="T54" s="237"/>
      <c r="U54" s="237"/>
      <c r="V54" s="237"/>
      <c r="W54" s="238"/>
      <c r="X54" s="209"/>
      <c r="Y54" s="210"/>
      <c r="Z54" s="214"/>
      <c r="AA54" s="215"/>
      <c r="AB54" s="216"/>
      <c r="AC54" s="214"/>
      <c r="AD54" s="216"/>
      <c r="AE54" s="220"/>
      <c r="AF54" s="221"/>
      <c r="AG54" s="221"/>
      <c r="AH54" s="221"/>
      <c r="AI54" s="221"/>
      <c r="AJ54" s="221"/>
      <c r="AK54" s="222"/>
      <c r="AL54" s="73"/>
    </row>
    <row r="55" spans="1:38" s="48" customFormat="1" ht="13.5" customHeight="1">
      <c r="A55" s="72"/>
      <c r="B55" s="63">
        <f>B53+1</f>
        <v>20</v>
      </c>
      <c r="C55" s="227" t="s">
        <v>64</v>
      </c>
      <c r="D55" s="228"/>
      <c r="E55" s="228"/>
      <c r="F55" s="228"/>
      <c r="G55" s="229"/>
      <c r="H55" s="195" t="s">
        <v>85</v>
      </c>
      <c r="I55" s="196"/>
      <c r="J55" s="196"/>
      <c r="K55" s="196"/>
      <c r="L55" s="196"/>
      <c r="M55" s="196"/>
      <c r="N55" s="196"/>
      <c r="O55" s="196"/>
      <c r="P55" s="197"/>
      <c r="Q55" s="270" t="s">
        <v>51</v>
      </c>
      <c r="R55" s="234"/>
      <c r="S55" s="234"/>
      <c r="T55" s="234"/>
      <c r="U55" s="234"/>
      <c r="V55" s="234"/>
      <c r="W55" s="235"/>
      <c r="X55" s="223" t="s">
        <v>40</v>
      </c>
      <c r="Y55" s="208"/>
      <c r="Z55" s="211" t="s">
        <v>38</v>
      </c>
      <c r="AA55" s="212"/>
      <c r="AB55" s="213"/>
      <c r="AC55" s="211" t="s">
        <v>78</v>
      </c>
      <c r="AD55" s="213"/>
      <c r="AE55" s="217"/>
      <c r="AF55" s="218"/>
      <c r="AG55" s="218"/>
      <c r="AH55" s="218"/>
      <c r="AI55" s="218"/>
      <c r="AJ55" s="218"/>
      <c r="AK55" s="219"/>
      <c r="AL55" s="73"/>
    </row>
    <row r="56" spans="1:38" s="48" customFormat="1" ht="13.5" customHeight="1">
      <c r="A56" s="72"/>
      <c r="B56" s="64"/>
      <c r="C56" s="230"/>
      <c r="D56" s="231"/>
      <c r="E56" s="231"/>
      <c r="F56" s="231"/>
      <c r="G56" s="232"/>
      <c r="H56" s="198"/>
      <c r="I56" s="199"/>
      <c r="J56" s="199"/>
      <c r="K56" s="199"/>
      <c r="L56" s="199"/>
      <c r="M56" s="199"/>
      <c r="N56" s="199"/>
      <c r="O56" s="199"/>
      <c r="P56" s="200"/>
      <c r="Q56" s="236"/>
      <c r="R56" s="237"/>
      <c r="S56" s="237"/>
      <c r="T56" s="237"/>
      <c r="U56" s="237"/>
      <c r="V56" s="237"/>
      <c r="W56" s="238"/>
      <c r="X56" s="209"/>
      <c r="Y56" s="210"/>
      <c r="Z56" s="214"/>
      <c r="AA56" s="215"/>
      <c r="AB56" s="216"/>
      <c r="AC56" s="214"/>
      <c r="AD56" s="216"/>
      <c r="AE56" s="220"/>
      <c r="AF56" s="221"/>
      <c r="AG56" s="221"/>
      <c r="AH56" s="221"/>
      <c r="AI56" s="221"/>
      <c r="AJ56" s="221"/>
      <c r="AK56" s="222"/>
      <c r="AL56" s="73"/>
    </row>
    <row r="57" spans="1:38" s="48" customFormat="1" ht="13.5" customHeight="1">
      <c r="A57" s="72"/>
      <c r="B57" s="63">
        <f>B55+1</f>
        <v>21</v>
      </c>
      <c r="C57" s="227" t="s">
        <v>65</v>
      </c>
      <c r="D57" s="228"/>
      <c r="E57" s="228"/>
      <c r="F57" s="228"/>
      <c r="G57" s="229"/>
      <c r="H57" s="195" t="s">
        <v>85</v>
      </c>
      <c r="I57" s="196"/>
      <c r="J57" s="196"/>
      <c r="K57" s="196"/>
      <c r="L57" s="196"/>
      <c r="M57" s="196"/>
      <c r="N57" s="196"/>
      <c r="O57" s="196"/>
      <c r="P57" s="197"/>
      <c r="Q57" s="270" t="s">
        <v>51</v>
      </c>
      <c r="R57" s="234"/>
      <c r="S57" s="234"/>
      <c r="T57" s="234"/>
      <c r="U57" s="234"/>
      <c r="V57" s="234"/>
      <c r="W57" s="235"/>
      <c r="X57" s="223" t="s">
        <v>40</v>
      </c>
      <c r="Y57" s="208"/>
      <c r="Z57" s="211" t="s">
        <v>38</v>
      </c>
      <c r="AA57" s="212"/>
      <c r="AB57" s="213"/>
      <c r="AC57" s="211" t="s">
        <v>78</v>
      </c>
      <c r="AD57" s="213"/>
      <c r="AE57" s="217"/>
      <c r="AF57" s="218"/>
      <c r="AG57" s="218"/>
      <c r="AH57" s="218"/>
      <c r="AI57" s="218"/>
      <c r="AJ57" s="218"/>
      <c r="AK57" s="219"/>
      <c r="AL57" s="73"/>
    </row>
    <row r="58" spans="1:38" s="48" customFormat="1" ht="13.5" customHeight="1">
      <c r="A58" s="72"/>
      <c r="B58" s="64"/>
      <c r="C58" s="230"/>
      <c r="D58" s="231"/>
      <c r="E58" s="231"/>
      <c r="F58" s="231"/>
      <c r="G58" s="232"/>
      <c r="H58" s="198"/>
      <c r="I58" s="199"/>
      <c r="J58" s="199"/>
      <c r="K58" s="199"/>
      <c r="L58" s="199"/>
      <c r="M58" s="199"/>
      <c r="N58" s="199"/>
      <c r="O58" s="199"/>
      <c r="P58" s="200"/>
      <c r="Q58" s="236"/>
      <c r="R58" s="237"/>
      <c r="S58" s="237"/>
      <c r="T58" s="237"/>
      <c r="U58" s="237"/>
      <c r="V58" s="237"/>
      <c r="W58" s="238"/>
      <c r="X58" s="209"/>
      <c r="Y58" s="210"/>
      <c r="Z58" s="214"/>
      <c r="AA58" s="215"/>
      <c r="AB58" s="216"/>
      <c r="AC58" s="214"/>
      <c r="AD58" s="216"/>
      <c r="AE58" s="220"/>
      <c r="AF58" s="221"/>
      <c r="AG58" s="221"/>
      <c r="AH58" s="221"/>
      <c r="AI58" s="221"/>
      <c r="AJ58" s="221"/>
      <c r="AK58" s="222"/>
      <c r="AL58" s="73"/>
    </row>
    <row r="59" spans="1:38" s="48" customFormat="1" ht="13.5" customHeight="1">
      <c r="A59" s="72"/>
      <c r="B59" s="63">
        <f t="shared" ref="B59:B61" si="11">B57+1</f>
        <v>22</v>
      </c>
      <c r="C59" s="227" t="s">
        <v>66</v>
      </c>
      <c r="D59" s="228"/>
      <c r="E59" s="228"/>
      <c r="F59" s="228"/>
      <c r="G59" s="229"/>
      <c r="H59" s="195" t="s">
        <v>85</v>
      </c>
      <c r="I59" s="196"/>
      <c r="J59" s="196"/>
      <c r="K59" s="196"/>
      <c r="L59" s="196"/>
      <c r="M59" s="196"/>
      <c r="N59" s="196"/>
      <c r="O59" s="196"/>
      <c r="P59" s="197"/>
      <c r="Q59" s="270" t="s">
        <v>51</v>
      </c>
      <c r="R59" s="234"/>
      <c r="S59" s="234"/>
      <c r="T59" s="234"/>
      <c r="U59" s="234"/>
      <c r="V59" s="234"/>
      <c r="W59" s="235"/>
      <c r="X59" s="223" t="s">
        <v>40</v>
      </c>
      <c r="Y59" s="208"/>
      <c r="Z59" s="211" t="s">
        <v>38</v>
      </c>
      <c r="AA59" s="212"/>
      <c r="AB59" s="213"/>
      <c r="AC59" s="211" t="s">
        <v>78</v>
      </c>
      <c r="AD59" s="213"/>
      <c r="AE59" s="217"/>
      <c r="AF59" s="218"/>
      <c r="AG59" s="218"/>
      <c r="AH59" s="218"/>
      <c r="AI59" s="218"/>
      <c r="AJ59" s="218"/>
      <c r="AK59" s="219"/>
      <c r="AL59" s="73"/>
    </row>
    <row r="60" spans="1:38" s="48" customFormat="1" ht="13.5" customHeight="1">
      <c r="A60" s="72"/>
      <c r="B60" s="64"/>
      <c r="C60" s="230"/>
      <c r="D60" s="231"/>
      <c r="E60" s="231"/>
      <c r="F60" s="231"/>
      <c r="G60" s="232"/>
      <c r="H60" s="198"/>
      <c r="I60" s="199"/>
      <c r="J60" s="199"/>
      <c r="K60" s="199"/>
      <c r="L60" s="199"/>
      <c r="M60" s="199"/>
      <c r="N60" s="199"/>
      <c r="O60" s="199"/>
      <c r="P60" s="200"/>
      <c r="Q60" s="236"/>
      <c r="R60" s="237"/>
      <c r="S60" s="237"/>
      <c r="T60" s="237"/>
      <c r="U60" s="237"/>
      <c r="V60" s="237"/>
      <c r="W60" s="238"/>
      <c r="X60" s="209"/>
      <c r="Y60" s="210"/>
      <c r="Z60" s="214"/>
      <c r="AA60" s="215"/>
      <c r="AB60" s="216"/>
      <c r="AC60" s="214"/>
      <c r="AD60" s="216"/>
      <c r="AE60" s="220"/>
      <c r="AF60" s="221"/>
      <c r="AG60" s="221"/>
      <c r="AH60" s="221"/>
      <c r="AI60" s="221"/>
      <c r="AJ60" s="221"/>
      <c r="AK60" s="222"/>
      <c r="AL60" s="73"/>
    </row>
    <row r="61" spans="1:38" s="48" customFormat="1" ht="13.5" customHeight="1">
      <c r="A61" s="72"/>
      <c r="B61" s="136">
        <f>B59+1</f>
        <v>23</v>
      </c>
      <c r="C61" s="253" t="s">
        <v>211</v>
      </c>
      <c r="D61" s="254"/>
      <c r="E61" s="254"/>
      <c r="F61" s="254"/>
      <c r="G61" s="255"/>
      <c r="H61" s="161" t="s">
        <v>85</v>
      </c>
      <c r="I61" s="162"/>
      <c r="J61" s="162"/>
      <c r="K61" s="162"/>
      <c r="L61" s="162"/>
      <c r="M61" s="162"/>
      <c r="N61" s="162"/>
      <c r="O61" s="162"/>
      <c r="P61" s="163"/>
      <c r="Q61" s="259" t="s">
        <v>28</v>
      </c>
      <c r="R61" s="260"/>
      <c r="S61" s="260"/>
      <c r="T61" s="260"/>
      <c r="U61" s="260"/>
      <c r="V61" s="260"/>
      <c r="W61" s="261"/>
      <c r="X61" s="173" t="s">
        <v>40</v>
      </c>
      <c r="Y61" s="174"/>
      <c r="Z61" s="177" t="s">
        <v>38</v>
      </c>
      <c r="AA61" s="178"/>
      <c r="AB61" s="179"/>
      <c r="AC61" s="177" t="s">
        <v>78</v>
      </c>
      <c r="AD61" s="179"/>
      <c r="AE61" s="183"/>
      <c r="AF61" s="184"/>
      <c r="AG61" s="184"/>
      <c r="AH61" s="184"/>
      <c r="AI61" s="184"/>
      <c r="AJ61" s="184"/>
      <c r="AK61" s="185"/>
      <c r="AL61" s="73"/>
    </row>
    <row r="62" spans="1:38" s="48" customFormat="1" ht="13.5" customHeight="1">
      <c r="A62" s="72"/>
      <c r="B62" s="137"/>
      <c r="C62" s="256"/>
      <c r="D62" s="257"/>
      <c r="E62" s="257"/>
      <c r="F62" s="257"/>
      <c r="G62" s="258"/>
      <c r="H62" s="164"/>
      <c r="I62" s="165"/>
      <c r="J62" s="165"/>
      <c r="K62" s="165"/>
      <c r="L62" s="165"/>
      <c r="M62" s="165"/>
      <c r="N62" s="165"/>
      <c r="O62" s="165"/>
      <c r="P62" s="166"/>
      <c r="Q62" s="262"/>
      <c r="R62" s="263"/>
      <c r="S62" s="263"/>
      <c r="T62" s="263"/>
      <c r="U62" s="263"/>
      <c r="V62" s="263"/>
      <c r="W62" s="264"/>
      <c r="X62" s="175"/>
      <c r="Y62" s="176"/>
      <c r="Z62" s="180"/>
      <c r="AA62" s="181"/>
      <c r="AB62" s="182"/>
      <c r="AC62" s="180"/>
      <c r="AD62" s="182"/>
      <c r="AE62" s="186"/>
      <c r="AF62" s="187"/>
      <c r="AG62" s="187"/>
      <c r="AH62" s="187"/>
      <c r="AI62" s="187"/>
      <c r="AJ62" s="187"/>
      <c r="AK62" s="188"/>
      <c r="AL62" s="73"/>
    </row>
    <row r="63" spans="1:38" s="48" customFormat="1" ht="13.5" customHeight="1">
      <c r="A63" s="72"/>
      <c r="B63" s="63">
        <f>B61+1</f>
        <v>24</v>
      </c>
      <c r="C63" s="227" t="s">
        <v>106</v>
      </c>
      <c r="D63" s="228"/>
      <c r="E63" s="228"/>
      <c r="F63" s="228"/>
      <c r="G63" s="229"/>
      <c r="H63" s="195" t="s">
        <v>85</v>
      </c>
      <c r="I63" s="196"/>
      <c r="J63" s="196"/>
      <c r="K63" s="196"/>
      <c r="L63" s="196"/>
      <c r="M63" s="196"/>
      <c r="N63" s="196"/>
      <c r="O63" s="196"/>
      <c r="P63" s="197"/>
      <c r="Q63" s="270" t="s">
        <v>51</v>
      </c>
      <c r="R63" s="234"/>
      <c r="S63" s="234"/>
      <c r="T63" s="234"/>
      <c r="U63" s="234"/>
      <c r="V63" s="234"/>
      <c r="W63" s="235"/>
      <c r="X63" s="223" t="s">
        <v>40</v>
      </c>
      <c r="Y63" s="208"/>
      <c r="Z63" s="211" t="s">
        <v>38</v>
      </c>
      <c r="AA63" s="212"/>
      <c r="AB63" s="213"/>
      <c r="AC63" s="211" t="s">
        <v>78</v>
      </c>
      <c r="AD63" s="213"/>
      <c r="AE63" s="217"/>
      <c r="AF63" s="218"/>
      <c r="AG63" s="218"/>
      <c r="AH63" s="218"/>
      <c r="AI63" s="218"/>
      <c r="AJ63" s="218"/>
      <c r="AK63" s="219"/>
      <c r="AL63" s="73"/>
    </row>
    <row r="64" spans="1:38" s="48" customFormat="1" ht="13.5" customHeight="1">
      <c r="A64" s="72"/>
      <c r="B64" s="64"/>
      <c r="C64" s="230"/>
      <c r="D64" s="231"/>
      <c r="E64" s="231"/>
      <c r="F64" s="231"/>
      <c r="G64" s="232"/>
      <c r="H64" s="198"/>
      <c r="I64" s="199"/>
      <c r="J64" s="199"/>
      <c r="K64" s="199"/>
      <c r="L64" s="199"/>
      <c r="M64" s="199"/>
      <c r="N64" s="199"/>
      <c r="O64" s="199"/>
      <c r="P64" s="200"/>
      <c r="Q64" s="236"/>
      <c r="R64" s="237"/>
      <c r="S64" s="237"/>
      <c r="T64" s="237"/>
      <c r="U64" s="237"/>
      <c r="V64" s="237"/>
      <c r="W64" s="238"/>
      <c r="X64" s="209"/>
      <c r="Y64" s="210"/>
      <c r="Z64" s="214"/>
      <c r="AA64" s="215"/>
      <c r="AB64" s="216"/>
      <c r="AC64" s="214"/>
      <c r="AD64" s="216"/>
      <c r="AE64" s="220"/>
      <c r="AF64" s="221"/>
      <c r="AG64" s="221"/>
      <c r="AH64" s="221"/>
      <c r="AI64" s="221"/>
      <c r="AJ64" s="221"/>
      <c r="AK64" s="222"/>
      <c r="AL64" s="73"/>
    </row>
    <row r="65" spans="1:38" s="48" customFormat="1" ht="13.5" customHeight="1">
      <c r="A65" s="72"/>
      <c r="B65" s="63">
        <f t="shared" ref="B65" si="12">B63+1</f>
        <v>25</v>
      </c>
      <c r="C65" s="227" t="s">
        <v>67</v>
      </c>
      <c r="D65" s="228"/>
      <c r="E65" s="228"/>
      <c r="F65" s="228"/>
      <c r="G65" s="229"/>
      <c r="H65" s="195" t="s">
        <v>86</v>
      </c>
      <c r="I65" s="196"/>
      <c r="J65" s="196"/>
      <c r="K65" s="196"/>
      <c r="L65" s="196"/>
      <c r="M65" s="196"/>
      <c r="N65" s="196"/>
      <c r="O65" s="196"/>
      <c r="P65" s="197"/>
      <c r="Q65" s="270" t="s">
        <v>51</v>
      </c>
      <c r="R65" s="234"/>
      <c r="S65" s="234"/>
      <c r="T65" s="234"/>
      <c r="U65" s="234"/>
      <c r="V65" s="234"/>
      <c r="W65" s="235"/>
      <c r="X65" s="223" t="s">
        <v>40</v>
      </c>
      <c r="Y65" s="208"/>
      <c r="Z65" s="211" t="s">
        <v>38</v>
      </c>
      <c r="AA65" s="212"/>
      <c r="AB65" s="213"/>
      <c r="AC65" s="211" t="s">
        <v>78</v>
      </c>
      <c r="AD65" s="213"/>
      <c r="AE65" s="217"/>
      <c r="AF65" s="218"/>
      <c r="AG65" s="218"/>
      <c r="AH65" s="218"/>
      <c r="AI65" s="218"/>
      <c r="AJ65" s="218"/>
      <c r="AK65" s="219"/>
      <c r="AL65" s="73"/>
    </row>
    <row r="66" spans="1:38" s="48" customFormat="1" ht="13.5" customHeight="1">
      <c r="A66" s="72"/>
      <c r="B66" s="64"/>
      <c r="C66" s="230"/>
      <c r="D66" s="231"/>
      <c r="E66" s="231"/>
      <c r="F66" s="231"/>
      <c r="G66" s="232"/>
      <c r="H66" s="198"/>
      <c r="I66" s="199"/>
      <c r="J66" s="199"/>
      <c r="K66" s="199"/>
      <c r="L66" s="199"/>
      <c r="M66" s="199"/>
      <c r="N66" s="199"/>
      <c r="O66" s="199"/>
      <c r="P66" s="200"/>
      <c r="Q66" s="236"/>
      <c r="R66" s="237"/>
      <c r="S66" s="237"/>
      <c r="T66" s="237"/>
      <c r="U66" s="237"/>
      <c r="V66" s="237"/>
      <c r="W66" s="238"/>
      <c r="X66" s="209"/>
      <c r="Y66" s="210"/>
      <c r="Z66" s="214"/>
      <c r="AA66" s="215"/>
      <c r="AB66" s="216"/>
      <c r="AC66" s="214"/>
      <c r="AD66" s="216"/>
      <c r="AE66" s="220"/>
      <c r="AF66" s="221"/>
      <c r="AG66" s="221"/>
      <c r="AH66" s="221"/>
      <c r="AI66" s="221"/>
      <c r="AJ66" s="221"/>
      <c r="AK66" s="222"/>
      <c r="AL66" s="73"/>
    </row>
    <row r="67" spans="1:38" s="48" customFormat="1" ht="13.5" customHeight="1">
      <c r="A67" s="72"/>
      <c r="B67" s="63">
        <f t="shared" ref="B67" si="13">B65+1</f>
        <v>26</v>
      </c>
      <c r="C67" s="227" t="s">
        <v>68</v>
      </c>
      <c r="D67" s="228"/>
      <c r="E67" s="228"/>
      <c r="F67" s="228"/>
      <c r="G67" s="229"/>
      <c r="H67" s="195" t="s">
        <v>86</v>
      </c>
      <c r="I67" s="196"/>
      <c r="J67" s="196"/>
      <c r="K67" s="196"/>
      <c r="L67" s="196"/>
      <c r="M67" s="196"/>
      <c r="N67" s="196"/>
      <c r="O67" s="196"/>
      <c r="P67" s="197"/>
      <c r="Q67" s="270" t="s">
        <v>51</v>
      </c>
      <c r="R67" s="234"/>
      <c r="S67" s="234"/>
      <c r="T67" s="234"/>
      <c r="U67" s="234"/>
      <c r="V67" s="234"/>
      <c r="W67" s="235"/>
      <c r="X67" s="223" t="s">
        <v>40</v>
      </c>
      <c r="Y67" s="208"/>
      <c r="Z67" s="211" t="s">
        <v>38</v>
      </c>
      <c r="AA67" s="212"/>
      <c r="AB67" s="213"/>
      <c r="AC67" s="211" t="s">
        <v>78</v>
      </c>
      <c r="AD67" s="213"/>
      <c r="AE67" s="217"/>
      <c r="AF67" s="218"/>
      <c r="AG67" s="218"/>
      <c r="AH67" s="218"/>
      <c r="AI67" s="218"/>
      <c r="AJ67" s="218"/>
      <c r="AK67" s="219"/>
      <c r="AL67" s="73"/>
    </row>
    <row r="68" spans="1:38" s="48" customFormat="1" ht="13.5" customHeight="1">
      <c r="A68" s="72"/>
      <c r="B68" s="64"/>
      <c r="C68" s="230"/>
      <c r="D68" s="231"/>
      <c r="E68" s="231"/>
      <c r="F68" s="231"/>
      <c r="G68" s="232"/>
      <c r="H68" s="198"/>
      <c r="I68" s="199"/>
      <c r="J68" s="199"/>
      <c r="K68" s="199"/>
      <c r="L68" s="199"/>
      <c r="M68" s="199"/>
      <c r="N68" s="199"/>
      <c r="O68" s="199"/>
      <c r="P68" s="200"/>
      <c r="Q68" s="236"/>
      <c r="R68" s="237"/>
      <c r="S68" s="237"/>
      <c r="T68" s="237"/>
      <c r="U68" s="237"/>
      <c r="V68" s="237"/>
      <c r="W68" s="238"/>
      <c r="X68" s="209"/>
      <c r="Y68" s="210"/>
      <c r="Z68" s="214"/>
      <c r="AA68" s="215"/>
      <c r="AB68" s="216"/>
      <c r="AC68" s="214"/>
      <c r="AD68" s="216"/>
      <c r="AE68" s="220"/>
      <c r="AF68" s="221"/>
      <c r="AG68" s="221"/>
      <c r="AH68" s="221"/>
      <c r="AI68" s="221"/>
      <c r="AJ68" s="221"/>
      <c r="AK68" s="222"/>
      <c r="AL68" s="73"/>
    </row>
    <row r="69" spans="1:38" s="48" customFormat="1" ht="13.5" customHeight="1">
      <c r="A69" s="72"/>
      <c r="B69" s="63">
        <f t="shared" ref="B69" si="14">B67+1</f>
        <v>27</v>
      </c>
      <c r="C69" s="227" t="s">
        <v>69</v>
      </c>
      <c r="D69" s="228"/>
      <c r="E69" s="228"/>
      <c r="F69" s="228"/>
      <c r="G69" s="229"/>
      <c r="H69" s="195" t="s">
        <v>86</v>
      </c>
      <c r="I69" s="196"/>
      <c r="J69" s="196"/>
      <c r="K69" s="196"/>
      <c r="L69" s="196"/>
      <c r="M69" s="196"/>
      <c r="N69" s="196"/>
      <c r="O69" s="196"/>
      <c r="P69" s="197"/>
      <c r="Q69" s="270" t="s">
        <v>51</v>
      </c>
      <c r="R69" s="234"/>
      <c r="S69" s="234"/>
      <c r="T69" s="234"/>
      <c r="U69" s="234"/>
      <c r="V69" s="234"/>
      <c r="W69" s="235"/>
      <c r="X69" s="223" t="s">
        <v>40</v>
      </c>
      <c r="Y69" s="208"/>
      <c r="Z69" s="211" t="s">
        <v>38</v>
      </c>
      <c r="AA69" s="212"/>
      <c r="AB69" s="213"/>
      <c r="AC69" s="211" t="s">
        <v>78</v>
      </c>
      <c r="AD69" s="213"/>
      <c r="AE69" s="217"/>
      <c r="AF69" s="218"/>
      <c r="AG69" s="218"/>
      <c r="AH69" s="218"/>
      <c r="AI69" s="218"/>
      <c r="AJ69" s="218"/>
      <c r="AK69" s="219"/>
      <c r="AL69" s="73"/>
    </row>
    <row r="70" spans="1:38" s="48" customFormat="1" ht="13.5" customHeight="1">
      <c r="A70" s="72"/>
      <c r="B70" s="64"/>
      <c r="C70" s="230"/>
      <c r="D70" s="231"/>
      <c r="E70" s="231"/>
      <c r="F70" s="231"/>
      <c r="G70" s="232"/>
      <c r="H70" s="198"/>
      <c r="I70" s="199"/>
      <c r="J70" s="199"/>
      <c r="K70" s="199"/>
      <c r="L70" s="199"/>
      <c r="M70" s="199"/>
      <c r="N70" s="199"/>
      <c r="O70" s="199"/>
      <c r="P70" s="200"/>
      <c r="Q70" s="236"/>
      <c r="R70" s="237"/>
      <c r="S70" s="237"/>
      <c r="T70" s="237"/>
      <c r="U70" s="237"/>
      <c r="V70" s="237"/>
      <c r="W70" s="238"/>
      <c r="X70" s="209"/>
      <c r="Y70" s="210"/>
      <c r="Z70" s="214"/>
      <c r="AA70" s="215"/>
      <c r="AB70" s="216"/>
      <c r="AC70" s="214"/>
      <c r="AD70" s="216"/>
      <c r="AE70" s="220"/>
      <c r="AF70" s="221"/>
      <c r="AG70" s="221"/>
      <c r="AH70" s="221"/>
      <c r="AI70" s="221"/>
      <c r="AJ70" s="221"/>
      <c r="AK70" s="222"/>
      <c r="AL70" s="73"/>
    </row>
    <row r="71" spans="1:38" s="48" customFormat="1" ht="13.5" customHeight="1">
      <c r="A71" s="72"/>
      <c r="B71" s="63">
        <f t="shared" ref="B71" si="15">B69+1</f>
        <v>28</v>
      </c>
      <c r="C71" s="227" t="s">
        <v>70</v>
      </c>
      <c r="D71" s="228"/>
      <c r="E71" s="228"/>
      <c r="F71" s="228"/>
      <c r="G71" s="229"/>
      <c r="H71" s="195" t="s">
        <v>86</v>
      </c>
      <c r="I71" s="196"/>
      <c r="J71" s="196"/>
      <c r="K71" s="196"/>
      <c r="L71" s="196"/>
      <c r="M71" s="196"/>
      <c r="N71" s="196"/>
      <c r="O71" s="196"/>
      <c r="P71" s="197"/>
      <c r="Q71" s="270" t="s">
        <v>51</v>
      </c>
      <c r="R71" s="234"/>
      <c r="S71" s="234"/>
      <c r="T71" s="234"/>
      <c r="U71" s="234"/>
      <c r="V71" s="234"/>
      <c r="W71" s="235"/>
      <c r="X71" s="223" t="s">
        <v>40</v>
      </c>
      <c r="Y71" s="208"/>
      <c r="Z71" s="211" t="s">
        <v>38</v>
      </c>
      <c r="AA71" s="212"/>
      <c r="AB71" s="213"/>
      <c r="AC71" s="211" t="s">
        <v>78</v>
      </c>
      <c r="AD71" s="213"/>
      <c r="AE71" s="217"/>
      <c r="AF71" s="218"/>
      <c r="AG71" s="218"/>
      <c r="AH71" s="218"/>
      <c r="AI71" s="218"/>
      <c r="AJ71" s="218"/>
      <c r="AK71" s="219"/>
      <c r="AL71" s="73"/>
    </row>
    <row r="72" spans="1:38" s="48" customFormat="1" ht="13.5" customHeight="1">
      <c r="A72" s="72"/>
      <c r="B72" s="64"/>
      <c r="C72" s="230"/>
      <c r="D72" s="231"/>
      <c r="E72" s="231"/>
      <c r="F72" s="231"/>
      <c r="G72" s="232"/>
      <c r="H72" s="198"/>
      <c r="I72" s="199"/>
      <c r="J72" s="199"/>
      <c r="K72" s="199"/>
      <c r="L72" s="199"/>
      <c r="M72" s="199"/>
      <c r="N72" s="199"/>
      <c r="O72" s="199"/>
      <c r="P72" s="200"/>
      <c r="Q72" s="236"/>
      <c r="R72" s="237"/>
      <c r="S72" s="237"/>
      <c r="T72" s="237"/>
      <c r="U72" s="237"/>
      <c r="V72" s="237"/>
      <c r="W72" s="238"/>
      <c r="X72" s="209"/>
      <c r="Y72" s="210"/>
      <c r="Z72" s="214"/>
      <c r="AA72" s="215"/>
      <c r="AB72" s="216"/>
      <c r="AC72" s="214"/>
      <c r="AD72" s="216"/>
      <c r="AE72" s="220"/>
      <c r="AF72" s="221"/>
      <c r="AG72" s="221"/>
      <c r="AH72" s="221"/>
      <c r="AI72" s="221"/>
      <c r="AJ72" s="221"/>
      <c r="AK72" s="222"/>
      <c r="AL72" s="73"/>
    </row>
    <row r="73" spans="1:38" s="48" customFormat="1" ht="13.5" customHeight="1">
      <c r="A73" s="72"/>
      <c r="B73" s="63">
        <f t="shared" ref="B73" si="16">B71+1</f>
        <v>29</v>
      </c>
      <c r="C73" s="227" t="s">
        <v>43</v>
      </c>
      <c r="D73" s="228"/>
      <c r="E73" s="228"/>
      <c r="F73" s="228"/>
      <c r="G73" s="229"/>
      <c r="H73" s="195" t="s">
        <v>119</v>
      </c>
      <c r="I73" s="196"/>
      <c r="J73" s="196"/>
      <c r="K73" s="196"/>
      <c r="L73" s="196"/>
      <c r="M73" s="196"/>
      <c r="N73" s="196"/>
      <c r="O73" s="196"/>
      <c r="P73" s="197"/>
      <c r="Q73" s="233" t="s">
        <v>44</v>
      </c>
      <c r="R73" s="234"/>
      <c r="S73" s="234"/>
      <c r="T73" s="234"/>
      <c r="U73" s="234"/>
      <c r="V73" s="234"/>
      <c r="W73" s="235"/>
      <c r="X73" s="207" t="s">
        <v>37</v>
      </c>
      <c r="Y73" s="208"/>
      <c r="Z73" s="239" t="s">
        <v>49</v>
      </c>
      <c r="AA73" s="212"/>
      <c r="AB73" s="213"/>
      <c r="AC73" s="239">
        <v>16</v>
      </c>
      <c r="AD73" s="213"/>
      <c r="AE73" s="269" t="s">
        <v>138</v>
      </c>
      <c r="AF73" s="218"/>
      <c r="AG73" s="218"/>
      <c r="AH73" s="218"/>
      <c r="AI73" s="218"/>
      <c r="AJ73" s="218"/>
      <c r="AK73" s="219"/>
      <c r="AL73" s="73"/>
    </row>
    <row r="74" spans="1:38" s="48" customFormat="1" ht="13.5" customHeight="1">
      <c r="A74" s="72"/>
      <c r="B74" s="64"/>
      <c r="C74" s="230"/>
      <c r="D74" s="231"/>
      <c r="E74" s="231"/>
      <c r="F74" s="231"/>
      <c r="G74" s="232"/>
      <c r="H74" s="198"/>
      <c r="I74" s="199"/>
      <c r="J74" s="199"/>
      <c r="K74" s="199"/>
      <c r="L74" s="199"/>
      <c r="M74" s="199"/>
      <c r="N74" s="199"/>
      <c r="O74" s="199"/>
      <c r="P74" s="200"/>
      <c r="Q74" s="236"/>
      <c r="R74" s="237"/>
      <c r="S74" s="237"/>
      <c r="T74" s="237"/>
      <c r="U74" s="237"/>
      <c r="V74" s="237"/>
      <c r="W74" s="238"/>
      <c r="X74" s="209"/>
      <c r="Y74" s="210"/>
      <c r="Z74" s="214"/>
      <c r="AA74" s="215"/>
      <c r="AB74" s="216"/>
      <c r="AC74" s="214"/>
      <c r="AD74" s="216"/>
      <c r="AE74" s="220"/>
      <c r="AF74" s="221"/>
      <c r="AG74" s="221"/>
      <c r="AH74" s="221"/>
      <c r="AI74" s="221"/>
      <c r="AJ74" s="221"/>
      <c r="AK74" s="222"/>
      <c r="AL74" s="73"/>
    </row>
    <row r="75" spans="1:38" s="48" customFormat="1" ht="13.5" customHeight="1">
      <c r="A75" s="72"/>
      <c r="B75" s="63">
        <f t="shared" ref="B75" si="17">B73+1</f>
        <v>30</v>
      </c>
      <c r="C75" s="227" t="s">
        <v>50</v>
      </c>
      <c r="D75" s="228"/>
      <c r="E75" s="228"/>
      <c r="F75" s="228"/>
      <c r="G75" s="229"/>
      <c r="H75" s="195" t="s">
        <v>118</v>
      </c>
      <c r="I75" s="196"/>
      <c r="J75" s="196"/>
      <c r="K75" s="196"/>
      <c r="L75" s="196"/>
      <c r="M75" s="196"/>
      <c r="N75" s="196"/>
      <c r="O75" s="196"/>
      <c r="P75" s="197"/>
      <c r="Q75" s="233" t="s">
        <v>44</v>
      </c>
      <c r="R75" s="234"/>
      <c r="S75" s="234"/>
      <c r="T75" s="234"/>
      <c r="U75" s="234"/>
      <c r="V75" s="234"/>
      <c r="W75" s="235"/>
      <c r="X75" s="207" t="s">
        <v>37</v>
      </c>
      <c r="Y75" s="208"/>
      <c r="Z75" s="239" t="s">
        <v>49</v>
      </c>
      <c r="AA75" s="212"/>
      <c r="AB75" s="213"/>
      <c r="AC75" s="239">
        <v>16</v>
      </c>
      <c r="AD75" s="213"/>
      <c r="AE75" s="269" t="s">
        <v>138</v>
      </c>
      <c r="AF75" s="218"/>
      <c r="AG75" s="218"/>
      <c r="AH75" s="218"/>
      <c r="AI75" s="218"/>
      <c r="AJ75" s="218"/>
      <c r="AK75" s="219"/>
      <c r="AL75" s="73"/>
    </row>
    <row r="76" spans="1:38" s="48" customFormat="1" ht="13.5" customHeight="1">
      <c r="A76" s="72"/>
      <c r="B76" s="64"/>
      <c r="C76" s="230"/>
      <c r="D76" s="231"/>
      <c r="E76" s="231"/>
      <c r="F76" s="231"/>
      <c r="G76" s="232"/>
      <c r="H76" s="198"/>
      <c r="I76" s="199"/>
      <c r="J76" s="199"/>
      <c r="K76" s="199"/>
      <c r="L76" s="199"/>
      <c r="M76" s="199"/>
      <c r="N76" s="199"/>
      <c r="O76" s="199"/>
      <c r="P76" s="200"/>
      <c r="Q76" s="236"/>
      <c r="R76" s="237"/>
      <c r="S76" s="237"/>
      <c r="T76" s="237"/>
      <c r="U76" s="237"/>
      <c r="V76" s="237"/>
      <c r="W76" s="238"/>
      <c r="X76" s="209"/>
      <c r="Y76" s="210"/>
      <c r="Z76" s="214"/>
      <c r="AA76" s="215"/>
      <c r="AB76" s="216"/>
      <c r="AC76" s="214"/>
      <c r="AD76" s="216"/>
      <c r="AE76" s="220"/>
      <c r="AF76" s="221"/>
      <c r="AG76" s="221"/>
      <c r="AH76" s="221"/>
      <c r="AI76" s="221"/>
      <c r="AJ76" s="221"/>
      <c r="AK76" s="222"/>
      <c r="AL76" s="73"/>
    </row>
    <row r="77" spans="1:38" s="48" customFormat="1" ht="13.5" customHeight="1">
      <c r="A77" s="72"/>
      <c r="B77" s="136">
        <f t="shared" ref="B77" si="18">B75+1</f>
        <v>31</v>
      </c>
      <c r="C77" s="253" t="s">
        <v>161</v>
      </c>
      <c r="D77" s="254"/>
      <c r="E77" s="254"/>
      <c r="F77" s="254"/>
      <c r="G77" s="255"/>
      <c r="H77" s="161"/>
      <c r="I77" s="162"/>
      <c r="J77" s="162"/>
      <c r="K77" s="162"/>
      <c r="L77" s="162"/>
      <c r="M77" s="162"/>
      <c r="N77" s="162"/>
      <c r="O77" s="162"/>
      <c r="P77" s="163"/>
      <c r="Q77" s="259" t="s">
        <v>51</v>
      </c>
      <c r="R77" s="260"/>
      <c r="S77" s="260"/>
      <c r="T77" s="260"/>
      <c r="U77" s="260"/>
      <c r="V77" s="260"/>
      <c r="W77" s="261"/>
      <c r="X77" s="173" t="s">
        <v>190</v>
      </c>
      <c r="Y77" s="174"/>
      <c r="Z77" s="177" t="s">
        <v>160</v>
      </c>
      <c r="AA77" s="178"/>
      <c r="AB77" s="179"/>
      <c r="AC77" s="177" t="s">
        <v>157</v>
      </c>
      <c r="AD77" s="179"/>
      <c r="AE77" s="183"/>
      <c r="AF77" s="184"/>
      <c r="AG77" s="184"/>
      <c r="AH77" s="184"/>
      <c r="AI77" s="184"/>
      <c r="AJ77" s="184"/>
      <c r="AK77" s="185"/>
      <c r="AL77" s="73"/>
    </row>
    <row r="78" spans="1:38" s="48" customFormat="1" ht="13.5" customHeight="1">
      <c r="A78" s="72"/>
      <c r="B78" s="137"/>
      <c r="C78" s="256"/>
      <c r="D78" s="257"/>
      <c r="E78" s="257"/>
      <c r="F78" s="257"/>
      <c r="G78" s="258"/>
      <c r="H78" s="164"/>
      <c r="I78" s="165"/>
      <c r="J78" s="165"/>
      <c r="K78" s="165"/>
      <c r="L78" s="165"/>
      <c r="M78" s="165"/>
      <c r="N78" s="165"/>
      <c r="O78" s="165"/>
      <c r="P78" s="166"/>
      <c r="Q78" s="262"/>
      <c r="R78" s="263"/>
      <c r="S78" s="263"/>
      <c r="T78" s="263"/>
      <c r="U78" s="263"/>
      <c r="V78" s="263"/>
      <c r="W78" s="264"/>
      <c r="X78" s="175"/>
      <c r="Y78" s="176"/>
      <c r="Z78" s="180"/>
      <c r="AA78" s="181"/>
      <c r="AB78" s="182"/>
      <c r="AC78" s="180"/>
      <c r="AD78" s="182"/>
      <c r="AE78" s="186"/>
      <c r="AF78" s="187"/>
      <c r="AG78" s="187"/>
      <c r="AH78" s="187"/>
      <c r="AI78" s="187"/>
      <c r="AJ78" s="187"/>
      <c r="AK78" s="188"/>
      <c r="AL78" s="73"/>
    </row>
    <row r="79" spans="1:38" s="48" customFormat="1" ht="13.5" customHeight="1">
      <c r="A79" s="72"/>
      <c r="B79" s="136">
        <f t="shared" ref="B79" si="19">B77+1</f>
        <v>32</v>
      </c>
      <c r="C79" s="253" t="s">
        <v>162</v>
      </c>
      <c r="D79" s="254"/>
      <c r="E79" s="254"/>
      <c r="F79" s="254"/>
      <c r="G79" s="255"/>
      <c r="H79" s="161"/>
      <c r="I79" s="162"/>
      <c r="J79" s="162"/>
      <c r="K79" s="162"/>
      <c r="L79" s="162"/>
      <c r="M79" s="162"/>
      <c r="N79" s="162"/>
      <c r="O79" s="162"/>
      <c r="P79" s="163"/>
      <c r="Q79" s="259" t="s">
        <v>51</v>
      </c>
      <c r="R79" s="260"/>
      <c r="S79" s="260"/>
      <c r="T79" s="260"/>
      <c r="U79" s="260"/>
      <c r="V79" s="260"/>
      <c r="W79" s="261"/>
      <c r="X79" s="173" t="s">
        <v>190</v>
      </c>
      <c r="Y79" s="174"/>
      <c r="Z79" s="177" t="s">
        <v>160</v>
      </c>
      <c r="AA79" s="178"/>
      <c r="AB79" s="179"/>
      <c r="AC79" s="177" t="s">
        <v>157</v>
      </c>
      <c r="AD79" s="179"/>
      <c r="AE79" s="183"/>
      <c r="AF79" s="184"/>
      <c r="AG79" s="184"/>
      <c r="AH79" s="184"/>
      <c r="AI79" s="184"/>
      <c r="AJ79" s="184"/>
      <c r="AK79" s="185"/>
      <c r="AL79" s="73"/>
    </row>
    <row r="80" spans="1:38" s="48" customFormat="1" ht="13.5" customHeight="1">
      <c r="A80" s="72"/>
      <c r="B80" s="137"/>
      <c r="C80" s="256"/>
      <c r="D80" s="257"/>
      <c r="E80" s="257"/>
      <c r="F80" s="257"/>
      <c r="G80" s="258"/>
      <c r="H80" s="164"/>
      <c r="I80" s="165"/>
      <c r="J80" s="165"/>
      <c r="K80" s="165"/>
      <c r="L80" s="165"/>
      <c r="M80" s="165"/>
      <c r="N80" s="165"/>
      <c r="O80" s="165"/>
      <c r="P80" s="166"/>
      <c r="Q80" s="262"/>
      <c r="R80" s="263"/>
      <c r="S80" s="263"/>
      <c r="T80" s="263"/>
      <c r="U80" s="263"/>
      <c r="V80" s="263"/>
      <c r="W80" s="264"/>
      <c r="X80" s="175"/>
      <c r="Y80" s="176"/>
      <c r="Z80" s="180"/>
      <c r="AA80" s="181"/>
      <c r="AB80" s="182"/>
      <c r="AC80" s="180"/>
      <c r="AD80" s="182"/>
      <c r="AE80" s="186"/>
      <c r="AF80" s="187"/>
      <c r="AG80" s="187"/>
      <c r="AH80" s="187"/>
      <c r="AI80" s="187"/>
      <c r="AJ80" s="187"/>
      <c r="AK80" s="188"/>
      <c r="AL80" s="73"/>
    </row>
    <row r="81" spans="1:38" s="48" customFormat="1" ht="13.5" customHeight="1">
      <c r="A81" s="72"/>
      <c r="B81" s="136">
        <f t="shared" ref="B81" si="20">B79+1</f>
        <v>33</v>
      </c>
      <c r="C81" s="253" t="s">
        <v>163</v>
      </c>
      <c r="D81" s="254"/>
      <c r="E81" s="254"/>
      <c r="F81" s="254"/>
      <c r="G81" s="255"/>
      <c r="H81" s="161"/>
      <c r="I81" s="162"/>
      <c r="J81" s="162"/>
      <c r="K81" s="162"/>
      <c r="L81" s="162"/>
      <c r="M81" s="162"/>
      <c r="N81" s="162"/>
      <c r="O81" s="162"/>
      <c r="P81" s="163"/>
      <c r="Q81" s="259" t="s">
        <v>51</v>
      </c>
      <c r="R81" s="260"/>
      <c r="S81" s="260"/>
      <c r="T81" s="260"/>
      <c r="U81" s="260"/>
      <c r="V81" s="260"/>
      <c r="W81" s="261"/>
      <c r="X81" s="173" t="s">
        <v>190</v>
      </c>
      <c r="Y81" s="174"/>
      <c r="Z81" s="177" t="s">
        <v>160</v>
      </c>
      <c r="AA81" s="178"/>
      <c r="AB81" s="179"/>
      <c r="AC81" s="177" t="s">
        <v>157</v>
      </c>
      <c r="AD81" s="179"/>
      <c r="AE81" s="183"/>
      <c r="AF81" s="184"/>
      <c r="AG81" s="184"/>
      <c r="AH81" s="184"/>
      <c r="AI81" s="184"/>
      <c r="AJ81" s="184"/>
      <c r="AK81" s="185"/>
      <c r="AL81" s="73"/>
    </row>
    <row r="82" spans="1:38" s="48" customFormat="1" ht="13.5" customHeight="1">
      <c r="A82" s="72"/>
      <c r="B82" s="137"/>
      <c r="C82" s="256"/>
      <c r="D82" s="257"/>
      <c r="E82" s="257"/>
      <c r="F82" s="257"/>
      <c r="G82" s="258"/>
      <c r="H82" s="164"/>
      <c r="I82" s="165"/>
      <c r="J82" s="165"/>
      <c r="K82" s="165"/>
      <c r="L82" s="165"/>
      <c r="M82" s="165"/>
      <c r="N82" s="165"/>
      <c r="O82" s="165"/>
      <c r="P82" s="166"/>
      <c r="Q82" s="262"/>
      <c r="R82" s="263"/>
      <c r="S82" s="263"/>
      <c r="T82" s="263"/>
      <c r="U82" s="263"/>
      <c r="V82" s="263"/>
      <c r="W82" s="264"/>
      <c r="X82" s="175"/>
      <c r="Y82" s="176"/>
      <c r="Z82" s="180"/>
      <c r="AA82" s="181"/>
      <c r="AB82" s="182"/>
      <c r="AC82" s="180"/>
      <c r="AD82" s="182"/>
      <c r="AE82" s="186"/>
      <c r="AF82" s="187"/>
      <c r="AG82" s="187"/>
      <c r="AH82" s="187"/>
      <c r="AI82" s="187"/>
      <c r="AJ82" s="187"/>
      <c r="AK82" s="188"/>
      <c r="AL82" s="73"/>
    </row>
    <row r="83" spans="1:38" s="48" customFormat="1" ht="13.5" customHeight="1">
      <c r="A83" s="72"/>
      <c r="B83" s="136">
        <f t="shared" ref="B83" si="21">B81+1</f>
        <v>34</v>
      </c>
      <c r="C83" s="253" t="s">
        <v>164</v>
      </c>
      <c r="D83" s="254"/>
      <c r="E83" s="254"/>
      <c r="F83" s="254"/>
      <c r="G83" s="255"/>
      <c r="H83" s="161"/>
      <c r="I83" s="162"/>
      <c r="J83" s="162"/>
      <c r="K83" s="162"/>
      <c r="L83" s="162"/>
      <c r="M83" s="162"/>
      <c r="N83" s="162"/>
      <c r="O83" s="162"/>
      <c r="P83" s="163"/>
      <c r="Q83" s="259" t="s">
        <v>51</v>
      </c>
      <c r="R83" s="260"/>
      <c r="S83" s="260"/>
      <c r="T83" s="260"/>
      <c r="U83" s="260"/>
      <c r="V83" s="260"/>
      <c r="W83" s="261"/>
      <c r="X83" s="173" t="s">
        <v>190</v>
      </c>
      <c r="Y83" s="174"/>
      <c r="Z83" s="177" t="s">
        <v>160</v>
      </c>
      <c r="AA83" s="178"/>
      <c r="AB83" s="179"/>
      <c r="AC83" s="177" t="s">
        <v>157</v>
      </c>
      <c r="AD83" s="179"/>
      <c r="AE83" s="183"/>
      <c r="AF83" s="184"/>
      <c r="AG83" s="184"/>
      <c r="AH83" s="184"/>
      <c r="AI83" s="184"/>
      <c r="AJ83" s="184"/>
      <c r="AK83" s="185"/>
      <c r="AL83" s="73"/>
    </row>
    <row r="84" spans="1:38" s="48" customFormat="1" ht="13.5" customHeight="1">
      <c r="A84" s="72"/>
      <c r="B84" s="137"/>
      <c r="C84" s="256"/>
      <c r="D84" s="257"/>
      <c r="E84" s="257"/>
      <c r="F84" s="257"/>
      <c r="G84" s="258"/>
      <c r="H84" s="164"/>
      <c r="I84" s="165"/>
      <c r="J84" s="165"/>
      <c r="K84" s="165"/>
      <c r="L84" s="165"/>
      <c r="M84" s="165"/>
      <c r="N84" s="165"/>
      <c r="O84" s="165"/>
      <c r="P84" s="166"/>
      <c r="Q84" s="262"/>
      <c r="R84" s="263"/>
      <c r="S84" s="263"/>
      <c r="T84" s="263"/>
      <c r="U84" s="263"/>
      <c r="V84" s="263"/>
      <c r="W84" s="264"/>
      <c r="X84" s="175"/>
      <c r="Y84" s="176"/>
      <c r="Z84" s="180"/>
      <c r="AA84" s="181"/>
      <c r="AB84" s="182"/>
      <c r="AC84" s="180"/>
      <c r="AD84" s="182"/>
      <c r="AE84" s="186"/>
      <c r="AF84" s="187"/>
      <c r="AG84" s="187"/>
      <c r="AH84" s="187"/>
      <c r="AI84" s="187"/>
      <c r="AJ84" s="187"/>
      <c r="AK84" s="188"/>
      <c r="AL84" s="73"/>
    </row>
    <row r="85" spans="1:38" s="48" customFormat="1" ht="13.5" customHeight="1">
      <c r="A85" s="72"/>
      <c r="B85" s="136">
        <f t="shared" ref="B85" si="22">B83+1</f>
        <v>35</v>
      </c>
      <c r="C85" s="253" t="s">
        <v>165</v>
      </c>
      <c r="D85" s="254"/>
      <c r="E85" s="254"/>
      <c r="F85" s="254"/>
      <c r="G85" s="255"/>
      <c r="H85" s="161"/>
      <c r="I85" s="162"/>
      <c r="J85" s="162"/>
      <c r="K85" s="162"/>
      <c r="L85" s="162"/>
      <c r="M85" s="162"/>
      <c r="N85" s="162"/>
      <c r="O85" s="162"/>
      <c r="P85" s="163"/>
      <c r="Q85" s="259" t="s">
        <v>51</v>
      </c>
      <c r="R85" s="260"/>
      <c r="S85" s="260"/>
      <c r="T85" s="260"/>
      <c r="U85" s="260"/>
      <c r="V85" s="260"/>
      <c r="W85" s="261"/>
      <c r="X85" s="173" t="s">
        <v>190</v>
      </c>
      <c r="Y85" s="174"/>
      <c r="Z85" s="177" t="s">
        <v>160</v>
      </c>
      <c r="AA85" s="178"/>
      <c r="AB85" s="179"/>
      <c r="AC85" s="177" t="s">
        <v>157</v>
      </c>
      <c r="AD85" s="179"/>
      <c r="AE85" s="183"/>
      <c r="AF85" s="184"/>
      <c r="AG85" s="184"/>
      <c r="AH85" s="184"/>
      <c r="AI85" s="184"/>
      <c r="AJ85" s="184"/>
      <c r="AK85" s="185"/>
      <c r="AL85" s="73"/>
    </row>
    <row r="86" spans="1:38" s="48" customFormat="1" ht="13.5" customHeight="1">
      <c r="A86" s="72"/>
      <c r="B86" s="137"/>
      <c r="C86" s="256"/>
      <c r="D86" s="257"/>
      <c r="E86" s="257"/>
      <c r="F86" s="257"/>
      <c r="G86" s="258"/>
      <c r="H86" s="164"/>
      <c r="I86" s="165"/>
      <c r="J86" s="165"/>
      <c r="K86" s="165"/>
      <c r="L86" s="165"/>
      <c r="M86" s="165"/>
      <c r="N86" s="165"/>
      <c r="O86" s="165"/>
      <c r="P86" s="166"/>
      <c r="Q86" s="262"/>
      <c r="R86" s="263"/>
      <c r="S86" s="263"/>
      <c r="T86" s="263"/>
      <c r="U86" s="263"/>
      <c r="V86" s="263"/>
      <c r="W86" s="264"/>
      <c r="X86" s="175"/>
      <c r="Y86" s="176"/>
      <c r="Z86" s="180"/>
      <c r="AA86" s="181"/>
      <c r="AB86" s="182"/>
      <c r="AC86" s="180"/>
      <c r="AD86" s="182"/>
      <c r="AE86" s="186"/>
      <c r="AF86" s="187"/>
      <c r="AG86" s="187"/>
      <c r="AH86" s="187"/>
      <c r="AI86" s="187"/>
      <c r="AJ86" s="187"/>
      <c r="AK86" s="188"/>
      <c r="AL86" s="73"/>
    </row>
    <row r="87" spans="1:38" s="48" customFormat="1" ht="13.5" customHeight="1">
      <c r="A87" s="72"/>
      <c r="B87" s="136">
        <v>35</v>
      </c>
      <c r="C87" s="155" t="s">
        <v>186</v>
      </c>
      <c r="D87" s="156"/>
      <c r="E87" s="156"/>
      <c r="F87" s="156"/>
      <c r="G87" s="157"/>
      <c r="H87" s="161" t="s">
        <v>188</v>
      </c>
      <c r="I87" s="162"/>
      <c r="J87" s="162"/>
      <c r="K87" s="162"/>
      <c r="L87" s="162"/>
      <c r="M87" s="162"/>
      <c r="N87" s="162"/>
      <c r="O87" s="162"/>
      <c r="P87" s="163"/>
      <c r="Q87" s="167"/>
      <c r="R87" s="168"/>
      <c r="S87" s="168"/>
      <c r="T87" s="168"/>
      <c r="U87" s="168"/>
      <c r="V87" s="168"/>
      <c r="W87" s="169"/>
      <c r="X87" s="173" t="s">
        <v>190</v>
      </c>
      <c r="Y87" s="174"/>
      <c r="Z87" s="177" t="s">
        <v>191</v>
      </c>
      <c r="AA87" s="178"/>
      <c r="AB87" s="179"/>
      <c r="AC87" s="177" t="s">
        <v>192</v>
      </c>
      <c r="AD87" s="179"/>
      <c r="AE87" s="183"/>
      <c r="AF87" s="184"/>
      <c r="AG87" s="184"/>
      <c r="AH87" s="184"/>
      <c r="AI87" s="184"/>
      <c r="AJ87" s="184"/>
      <c r="AK87" s="185"/>
      <c r="AL87" s="73"/>
    </row>
    <row r="88" spans="1:38" s="48" customFormat="1" ht="13.5" customHeight="1">
      <c r="A88" s="72"/>
      <c r="B88" s="137"/>
      <c r="C88" s="158"/>
      <c r="D88" s="159"/>
      <c r="E88" s="159"/>
      <c r="F88" s="159"/>
      <c r="G88" s="160"/>
      <c r="H88" s="164"/>
      <c r="I88" s="165"/>
      <c r="J88" s="165"/>
      <c r="K88" s="165"/>
      <c r="L88" s="165"/>
      <c r="M88" s="165"/>
      <c r="N88" s="165"/>
      <c r="O88" s="165"/>
      <c r="P88" s="166"/>
      <c r="Q88" s="170"/>
      <c r="R88" s="171"/>
      <c r="S88" s="171"/>
      <c r="T88" s="171"/>
      <c r="U88" s="171"/>
      <c r="V88" s="171"/>
      <c r="W88" s="172"/>
      <c r="X88" s="175"/>
      <c r="Y88" s="176"/>
      <c r="Z88" s="180"/>
      <c r="AA88" s="181"/>
      <c r="AB88" s="182"/>
      <c r="AC88" s="180"/>
      <c r="AD88" s="182"/>
      <c r="AE88" s="186"/>
      <c r="AF88" s="187"/>
      <c r="AG88" s="187"/>
      <c r="AH88" s="187"/>
      <c r="AI88" s="187"/>
      <c r="AJ88" s="187"/>
      <c r="AK88" s="188"/>
      <c r="AL88" s="73"/>
    </row>
    <row r="89" spans="1:38" s="48" customFormat="1" ht="13.5" customHeight="1">
      <c r="A89" s="72"/>
      <c r="B89" s="136">
        <v>36</v>
      </c>
      <c r="C89" s="155" t="s">
        <v>187</v>
      </c>
      <c r="D89" s="156"/>
      <c r="E89" s="156"/>
      <c r="F89" s="156"/>
      <c r="G89" s="157"/>
      <c r="H89" s="161" t="s">
        <v>189</v>
      </c>
      <c r="I89" s="162"/>
      <c r="J89" s="162"/>
      <c r="K89" s="162"/>
      <c r="L89" s="162"/>
      <c r="M89" s="162"/>
      <c r="N89" s="162"/>
      <c r="O89" s="162"/>
      <c r="P89" s="163"/>
      <c r="Q89" s="167"/>
      <c r="R89" s="168"/>
      <c r="S89" s="168"/>
      <c r="T89" s="168"/>
      <c r="U89" s="168"/>
      <c r="V89" s="168"/>
      <c r="W89" s="169"/>
      <c r="X89" s="173" t="s">
        <v>190</v>
      </c>
      <c r="Y89" s="174"/>
      <c r="Z89" s="177" t="s">
        <v>191</v>
      </c>
      <c r="AA89" s="178"/>
      <c r="AB89" s="179"/>
      <c r="AC89" s="177" t="s">
        <v>192</v>
      </c>
      <c r="AD89" s="179"/>
      <c r="AE89" s="183"/>
      <c r="AF89" s="184"/>
      <c r="AG89" s="184"/>
      <c r="AH89" s="184"/>
      <c r="AI89" s="184"/>
      <c r="AJ89" s="184"/>
      <c r="AK89" s="185"/>
      <c r="AL89" s="73"/>
    </row>
    <row r="90" spans="1:38" s="48" customFormat="1" ht="13.5" customHeight="1">
      <c r="A90" s="72"/>
      <c r="B90" s="137"/>
      <c r="C90" s="158"/>
      <c r="D90" s="159"/>
      <c r="E90" s="159"/>
      <c r="F90" s="159"/>
      <c r="G90" s="160"/>
      <c r="H90" s="164"/>
      <c r="I90" s="165"/>
      <c r="J90" s="165"/>
      <c r="K90" s="165"/>
      <c r="L90" s="165"/>
      <c r="M90" s="165"/>
      <c r="N90" s="165"/>
      <c r="O90" s="165"/>
      <c r="P90" s="166"/>
      <c r="Q90" s="170"/>
      <c r="R90" s="171"/>
      <c r="S90" s="171"/>
      <c r="T90" s="171"/>
      <c r="U90" s="171"/>
      <c r="V90" s="171"/>
      <c r="W90" s="172"/>
      <c r="X90" s="175"/>
      <c r="Y90" s="176"/>
      <c r="Z90" s="180"/>
      <c r="AA90" s="181"/>
      <c r="AB90" s="182"/>
      <c r="AC90" s="180"/>
      <c r="AD90" s="182"/>
      <c r="AE90" s="186"/>
      <c r="AF90" s="187"/>
      <c r="AG90" s="187"/>
      <c r="AH90" s="187"/>
      <c r="AI90" s="187"/>
      <c r="AJ90" s="187"/>
      <c r="AK90" s="188"/>
      <c r="AL90" s="73"/>
    </row>
    <row r="91" spans="1:38" s="83" customFormat="1" ht="13.5" customHeight="1">
      <c r="A91" s="82"/>
      <c r="AL91" s="84"/>
    </row>
    <row r="92" spans="1:38" s="83" customFormat="1" ht="13.5" customHeight="1">
      <c r="A92" s="82"/>
      <c r="C92" s="138" t="s">
        <v>154</v>
      </c>
      <c r="AL92" s="84"/>
    </row>
    <row r="93" spans="1:38" s="83" customFormat="1" ht="13.5" customHeight="1">
      <c r="A93" s="82"/>
      <c r="AL93" s="84"/>
    </row>
    <row r="94" spans="1:38" s="40" customFormat="1" ht="13.5" customHeight="1">
      <c r="A94" s="69"/>
      <c r="B94" s="70"/>
      <c r="C94" s="70"/>
      <c r="D94" s="70"/>
      <c r="E94" s="70"/>
      <c r="F94" s="70"/>
      <c r="G94" s="70"/>
      <c r="H94" s="70"/>
      <c r="I94" s="70"/>
      <c r="J94" s="70"/>
      <c r="K94" s="70"/>
      <c r="L94" s="70"/>
      <c r="M94" s="70"/>
      <c r="N94" s="70"/>
      <c r="O94" s="70"/>
      <c r="P94" s="70"/>
      <c r="Q94" s="70"/>
      <c r="R94" s="70"/>
      <c r="S94" s="70"/>
      <c r="T94" s="70"/>
      <c r="U94" s="70"/>
      <c r="V94" s="70"/>
      <c r="W94" s="70"/>
      <c r="X94" s="70"/>
      <c r="Y94" s="70"/>
      <c r="Z94" s="70"/>
      <c r="AA94" s="70"/>
      <c r="AB94" s="70"/>
      <c r="AC94" s="70"/>
      <c r="AD94" s="70"/>
      <c r="AE94" s="70"/>
      <c r="AF94" s="70"/>
      <c r="AG94" s="70"/>
      <c r="AH94" s="70"/>
      <c r="AI94" s="70"/>
      <c r="AJ94" s="70"/>
      <c r="AK94" s="70"/>
      <c r="AL94" s="71"/>
    </row>
    <row r="95" spans="1:38" s="9" customFormat="1" ht="13.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row>
    <row r="96" spans="1:38" s="9" customFormat="1" ht="13.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row>
    <row r="97" spans="1:38" s="9" customFormat="1" ht="13.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row>
    <row r="98" spans="1:38" s="9" customFormat="1" ht="13.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row>
    <row r="99" spans="1:38" s="9" customFormat="1" ht="13.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row>
    <row r="100" spans="1:38" s="9" customFormat="1" ht="13.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row>
    <row r="101" spans="1:38" s="9" customFormat="1" ht="13.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row>
    <row r="102" spans="1:38" s="9" customFormat="1" ht="13.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row>
    <row r="103" spans="1:38" s="9" customFormat="1" ht="13.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row>
    <row r="104" spans="1:38" s="9" customFormat="1" ht="13.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row>
    <row r="105" spans="1:38" s="9" customFormat="1" ht="13.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row>
    <row r="106" spans="1:38" s="9" customFormat="1" ht="13.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row>
    <row r="107" spans="1:38" s="9" customFormat="1" ht="13.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row>
    <row r="108" spans="1:38" s="9" customFormat="1" ht="13.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row>
    <row r="109" spans="1:38" s="9" customFormat="1" ht="13.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row>
    <row r="110" spans="1:38" s="9" customFormat="1" ht="13.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row>
    <row r="111" spans="1:38" s="9" customFormat="1" ht="13.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row>
    <row r="112" spans="1:38" s="9" customFormat="1" ht="13.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row>
    <row r="113" spans="1:38" s="9" customFormat="1" ht="13.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row>
    <row r="114" spans="1:38" s="9" customFormat="1" ht="13.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row>
    <row r="115" spans="1:38" s="9" customFormat="1" ht="13.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row>
    <row r="116" spans="1:38" s="9" customFormat="1" ht="13.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row>
    <row r="117" spans="1:38" s="9" customFormat="1" ht="13.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row>
    <row r="118" spans="1:38" s="9" customFormat="1" ht="13.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row>
    <row r="119" spans="1:38" s="9" customFormat="1" ht="13.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row>
    <row r="120" spans="1:38" s="9" customFormat="1" ht="13.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row>
    <row r="121" spans="1:38" s="9" customFormat="1" ht="13.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row>
    <row r="122" spans="1:38" s="9" customFormat="1" ht="13.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row>
    <row r="123" spans="1:38" s="9" customFormat="1" ht="13.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row>
    <row r="124" spans="1:38" s="9" customFormat="1" ht="13.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row>
    <row r="125" spans="1:38" s="9" customFormat="1" ht="13.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row>
    <row r="126" spans="1:38" s="9" customFormat="1" ht="13.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row>
    <row r="127" spans="1:38" s="9" customFormat="1" ht="13.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row>
    <row r="128" spans="1:38" s="9" customFormat="1" ht="13.5" customHeight="1"/>
    <row r="129" s="9" customFormat="1" ht="13.5" customHeight="1"/>
    <row r="130" s="9" customFormat="1" ht="13.5" customHeight="1"/>
    <row r="131" s="9" customFormat="1" ht="13.5" customHeight="1"/>
  </sheetData>
  <mergeCells count="265">
    <mergeCell ref="C61:G62"/>
    <mergeCell ref="H61:P62"/>
    <mergeCell ref="Q61:W62"/>
    <mergeCell ref="X61:Y62"/>
    <mergeCell ref="Z61:AB62"/>
    <mergeCell ref="AC61:AD62"/>
    <mergeCell ref="AE61:AK62"/>
    <mergeCell ref="P1:AL1"/>
    <mergeCell ref="A2:H3"/>
    <mergeCell ref="I2:O3"/>
    <mergeCell ref="P2:AL3"/>
    <mergeCell ref="C14:G15"/>
    <mergeCell ref="H14:P15"/>
    <mergeCell ref="Q14:W15"/>
    <mergeCell ref="X14:Y15"/>
    <mergeCell ref="Z14:AB15"/>
    <mergeCell ref="AC14:AD15"/>
    <mergeCell ref="AE14:AK15"/>
    <mergeCell ref="T4:X4"/>
    <mergeCell ref="C12:G13"/>
    <mergeCell ref="H12:P13"/>
    <mergeCell ref="Q12:W13"/>
    <mergeCell ref="X12:Y13"/>
    <mergeCell ref="Z12:AB13"/>
    <mergeCell ref="C10:G11"/>
    <mergeCell ref="H10:P11"/>
    <mergeCell ref="Q10:W11"/>
    <mergeCell ref="X10:Y11"/>
    <mergeCell ref="Z10:AB11"/>
    <mergeCell ref="AC12:AD13"/>
    <mergeCell ref="AE12:AK13"/>
    <mergeCell ref="AE16:AK17"/>
    <mergeCell ref="C18:G19"/>
    <mergeCell ref="H18:P19"/>
    <mergeCell ref="Q18:W19"/>
    <mergeCell ref="X18:Y19"/>
    <mergeCell ref="Z18:AB19"/>
    <mergeCell ref="AC18:AD19"/>
    <mergeCell ref="AE18:AK19"/>
    <mergeCell ref="C16:G17"/>
    <mergeCell ref="H16:P17"/>
    <mergeCell ref="Q16:W17"/>
    <mergeCell ref="X16:Y17"/>
    <mergeCell ref="Z16:AB17"/>
    <mergeCell ref="AC16:AD17"/>
    <mergeCell ref="AC10:AD11"/>
    <mergeCell ref="AE10:AK11"/>
    <mergeCell ref="H29:P30"/>
    <mergeCell ref="Q29:W30"/>
    <mergeCell ref="X29:Y30"/>
    <mergeCell ref="Z29:AB30"/>
    <mergeCell ref="AC29:AD30"/>
    <mergeCell ref="AE20:AK21"/>
    <mergeCell ref="C22:G23"/>
    <mergeCell ref="H22:P23"/>
    <mergeCell ref="Q22:W23"/>
    <mergeCell ref="X22:Y23"/>
    <mergeCell ref="Z22:AB23"/>
    <mergeCell ref="AC22:AD23"/>
    <mergeCell ref="AE22:AK23"/>
    <mergeCell ref="C20:G21"/>
    <mergeCell ref="H20:P21"/>
    <mergeCell ref="Q20:W21"/>
    <mergeCell ref="X20:Y21"/>
    <mergeCell ref="Z20:AB21"/>
    <mergeCell ref="AC20:AD21"/>
    <mergeCell ref="C26:G28"/>
    <mergeCell ref="H26:P28"/>
    <mergeCell ref="Q26:W28"/>
    <mergeCell ref="X26:Y28"/>
    <mergeCell ref="Z26:AB28"/>
    <mergeCell ref="AE35:AK36"/>
    <mergeCell ref="C37:G38"/>
    <mergeCell ref="H37:P38"/>
    <mergeCell ref="Q37:W38"/>
    <mergeCell ref="X37:Y38"/>
    <mergeCell ref="Z37:AB38"/>
    <mergeCell ref="AC37:AD38"/>
    <mergeCell ref="AE37:AK38"/>
    <mergeCell ref="C35:G36"/>
    <mergeCell ref="H35:P36"/>
    <mergeCell ref="Q35:W36"/>
    <mergeCell ref="X35:Y36"/>
    <mergeCell ref="Z35:AB36"/>
    <mergeCell ref="AC35:AD36"/>
    <mergeCell ref="AC26:AD28"/>
    <mergeCell ref="AE26:AK28"/>
    <mergeCell ref="AE39:AK40"/>
    <mergeCell ref="C41:G42"/>
    <mergeCell ref="H41:P42"/>
    <mergeCell ref="Q41:W42"/>
    <mergeCell ref="X41:Y42"/>
    <mergeCell ref="Z41:AB42"/>
    <mergeCell ref="AC41:AD42"/>
    <mergeCell ref="AE41:AK42"/>
    <mergeCell ref="C39:G40"/>
    <mergeCell ref="H39:P40"/>
    <mergeCell ref="Q39:W40"/>
    <mergeCell ref="X39:Y40"/>
    <mergeCell ref="Z39:AB40"/>
    <mergeCell ref="AC39:AD40"/>
    <mergeCell ref="AE49:AK50"/>
    <mergeCell ref="C51:G52"/>
    <mergeCell ref="H51:P52"/>
    <mergeCell ref="Q51:W52"/>
    <mergeCell ref="X51:Y52"/>
    <mergeCell ref="Z51:AB52"/>
    <mergeCell ref="AC51:AD52"/>
    <mergeCell ref="AE51:AK52"/>
    <mergeCell ref="C49:G50"/>
    <mergeCell ref="H49:P50"/>
    <mergeCell ref="Q49:W50"/>
    <mergeCell ref="X49:Y50"/>
    <mergeCell ref="Z49:AB50"/>
    <mergeCell ref="AC49:AD50"/>
    <mergeCell ref="AE53:AK54"/>
    <mergeCell ref="C55:G56"/>
    <mergeCell ref="H55:P56"/>
    <mergeCell ref="Q55:W56"/>
    <mergeCell ref="X55:Y56"/>
    <mergeCell ref="Z55:AB56"/>
    <mergeCell ref="AC55:AD56"/>
    <mergeCell ref="AE55:AK56"/>
    <mergeCell ref="C53:G54"/>
    <mergeCell ref="H53:P54"/>
    <mergeCell ref="Q53:W54"/>
    <mergeCell ref="X53:Y54"/>
    <mergeCell ref="Z53:AB54"/>
    <mergeCell ref="AC53:AD54"/>
    <mergeCell ref="AE57:AK58"/>
    <mergeCell ref="C59:G60"/>
    <mergeCell ref="H59:P60"/>
    <mergeCell ref="Q59:W60"/>
    <mergeCell ref="X59:Y60"/>
    <mergeCell ref="Z59:AB60"/>
    <mergeCell ref="AC59:AD60"/>
    <mergeCell ref="AE59:AK60"/>
    <mergeCell ref="C57:G58"/>
    <mergeCell ref="H57:P58"/>
    <mergeCell ref="Q57:W58"/>
    <mergeCell ref="X57:Y58"/>
    <mergeCell ref="Z57:AB58"/>
    <mergeCell ref="AC57:AD58"/>
    <mergeCell ref="AE63:AK64"/>
    <mergeCell ref="C65:G66"/>
    <mergeCell ref="H65:P66"/>
    <mergeCell ref="Q65:W66"/>
    <mergeCell ref="X65:Y66"/>
    <mergeCell ref="Z65:AB66"/>
    <mergeCell ref="AC65:AD66"/>
    <mergeCell ref="AE65:AK66"/>
    <mergeCell ref="C63:G64"/>
    <mergeCell ref="H63:P64"/>
    <mergeCell ref="Q63:W64"/>
    <mergeCell ref="X63:Y64"/>
    <mergeCell ref="Z63:AB64"/>
    <mergeCell ref="AC63:AD64"/>
    <mergeCell ref="AE67:AK68"/>
    <mergeCell ref="C69:G70"/>
    <mergeCell ref="H69:P70"/>
    <mergeCell ref="Q69:W70"/>
    <mergeCell ref="X69:Y70"/>
    <mergeCell ref="Z69:AB70"/>
    <mergeCell ref="AC69:AD70"/>
    <mergeCell ref="AE69:AK70"/>
    <mergeCell ref="C67:G68"/>
    <mergeCell ref="H67:P68"/>
    <mergeCell ref="Q67:W68"/>
    <mergeCell ref="X67:Y68"/>
    <mergeCell ref="Z67:AB68"/>
    <mergeCell ref="AC67:AD68"/>
    <mergeCell ref="C73:G74"/>
    <mergeCell ref="H73:P74"/>
    <mergeCell ref="Q73:W74"/>
    <mergeCell ref="X73:Y74"/>
    <mergeCell ref="Z73:AB74"/>
    <mergeCell ref="AC73:AD74"/>
    <mergeCell ref="AE73:AK74"/>
    <mergeCell ref="C71:G72"/>
    <mergeCell ref="AE75:AK76"/>
    <mergeCell ref="H71:P72"/>
    <mergeCell ref="Q71:W72"/>
    <mergeCell ref="X71:Y72"/>
    <mergeCell ref="Z71:AB72"/>
    <mergeCell ref="AC71:AD72"/>
    <mergeCell ref="AE71:AK72"/>
    <mergeCell ref="C75:G76"/>
    <mergeCell ref="H75:P76"/>
    <mergeCell ref="Q75:W76"/>
    <mergeCell ref="X75:Y76"/>
    <mergeCell ref="Z75:AB76"/>
    <mergeCell ref="AC75:AD76"/>
    <mergeCell ref="C24:G25"/>
    <mergeCell ref="H24:P25"/>
    <mergeCell ref="Q24:W25"/>
    <mergeCell ref="X24:Y25"/>
    <mergeCell ref="Z24:AB25"/>
    <mergeCell ref="AC24:AD25"/>
    <mergeCell ref="AE24:AK25"/>
    <mergeCell ref="B26:B28"/>
    <mergeCell ref="C33:G34"/>
    <mergeCell ref="H33:P34"/>
    <mergeCell ref="Q33:W34"/>
    <mergeCell ref="X33:Y34"/>
    <mergeCell ref="Z33:AB34"/>
    <mergeCell ref="AC33:AD34"/>
    <mergeCell ref="AE33:AK34"/>
    <mergeCell ref="AE29:AK30"/>
    <mergeCell ref="C31:G32"/>
    <mergeCell ref="H31:P32"/>
    <mergeCell ref="Q31:W32"/>
    <mergeCell ref="X31:Y32"/>
    <mergeCell ref="Z31:AB32"/>
    <mergeCell ref="AC31:AD32"/>
    <mergeCell ref="AE31:AK32"/>
    <mergeCell ref="C29:G30"/>
    <mergeCell ref="C77:G78"/>
    <mergeCell ref="H77:P78"/>
    <mergeCell ref="Q77:W78"/>
    <mergeCell ref="X77:Y78"/>
    <mergeCell ref="Z77:AB78"/>
    <mergeCell ref="AC77:AD78"/>
    <mergeCell ref="AE77:AK78"/>
    <mergeCell ref="C79:G80"/>
    <mergeCell ref="H79:P80"/>
    <mergeCell ref="Q79:W80"/>
    <mergeCell ref="X79:Y80"/>
    <mergeCell ref="Z79:AB80"/>
    <mergeCell ref="AC79:AD80"/>
    <mergeCell ref="AE79:AK80"/>
    <mergeCell ref="C85:G86"/>
    <mergeCell ref="H85:P86"/>
    <mergeCell ref="Q85:W86"/>
    <mergeCell ref="X85:Y86"/>
    <mergeCell ref="Z85:AB86"/>
    <mergeCell ref="AC85:AD86"/>
    <mergeCell ref="AE85:AK86"/>
    <mergeCell ref="C81:G82"/>
    <mergeCell ref="H81:P82"/>
    <mergeCell ref="Q81:W82"/>
    <mergeCell ref="X81:Y82"/>
    <mergeCell ref="Z81:AB82"/>
    <mergeCell ref="AC81:AD82"/>
    <mergeCell ref="AE81:AK82"/>
    <mergeCell ref="C83:G84"/>
    <mergeCell ref="H83:P84"/>
    <mergeCell ref="Q83:W84"/>
    <mergeCell ref="X83:Y84"/>
    <mergeCell ref="Z83:AB84"/>
    <mergeCell ref="AC83:AD84"/>
    <mergeCell ref="AE83:AK84"/>
    <mergeCell ref="C87:G88"/>
    <mergeCell ref="H87:P88"/>
    <mergeCell ref="Q87:W88"/>
    <mergeCell ref="X87:Y88"/>
    <mergeCell ref="Z87:AB88"/>
    <mergeCell ref="AC87:AD88"/>
    <mergeCell ref="AE87:AK88"/>
    <mergeCell ref="C89:G90"/>
    <mergeCell ref="H89:P90"/>
    <mergeCell ref="Q89:W90"/>
    <mergeCell ref="X89:Y90"/>
    <mergeCell ref="Z89:AB90"/>
    <mergeCell ref="AC89:AD90"/>
    <mergeCell ref="AE89:AK90"/>
  </mergeCells>
  <phoneticPr fontId="2"/>
  <pageMargins left="0.78740157480314965" right="0.78740157480314965" top="0.78740157480314965" bottom="0.78740157480314965" header="0.51181102362204722" footer="0.51181102362204722"/>
  <pageSetup paperSize="9" fitToHeight="0" orientation="landscape" r:id="rId1"/>
  <headerFooter scaleWithDoc="0" alignWithMargins="0">
    <oddFooter>&amp;C5.2.2-&amp;P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L79"/>
  <sheetViews>
    <sheetView view="pageBreakPreview" zoomScaleNormal="85" zoomScaleSheetLayoutView="100" workbookViewId="0">
      <pane ySplit="4" topLeftCell="A5" activePane="bottomLeft" state="frozen"/>
      <selection activeCell="Q16" sqref="Q16"/>
      <selection pane="bottomLeft" activeCell="G10" sqref="G10:O10"/>
    </sheetView>
  </sheetViews>
  <sheetFormatPr baseColWidth="10" defaultColWidth="3.59765625" defaultRowHeight="13.5" customHeight="1"/>
  <cols>
    <col min="1" max="16384" width="3.59765625" style="22"/>
  </cols>
  <sheetData>
    <row r="1" spans="1:38" s="1" customFormat="1" ht="13.5" customHeight="1">
      <c r="A1" s="28" t="s">
        <v>5</v>
      </c>
      <c r="B1" s="29"/>
      <c r="C1" s="30"/>
      <c r="D1" s="30"/>
      <c r="E1" s="30"/>
      <c r="F1" s="30"/>
      <c r="G1" s="30"/>
      <c r="H1" s="30"/>
      <c r="I1" s="28" t="s">
        <v>17</v>
      </c>
      <c r="J1" s="30"/>
      <c r="K1" s="30"/>
      <c r="L1" s="30"/>
      <c r="M1" s="30"/>
      <c r="N1" s="30"/>
      <c r="O1" s="30"/>
      <c r="P1" s="146" t="s">
        <v>18</v>
      </c>
      <c r="Q1" s="147"/>
      <c r="R1" s="147"/>
      <c r="S1" s="147"/>
      <c r="T1" s="147"/>
      <c r="U1" s="147"/>
      <c r="V1" s="147"/>
      <c r="W1" s="147"/>
      <c r="X1" s="147"/>
      <c r="Y1" s="147"/>
      <c r="Z1" s="147" t="s">
        <v>194</v>
      </c>
      <c r="AA1" s="147"/>
      <c r="AB1" s="147"/>
      <c r="AC1" s="147" t="s">
        <v>195</v>
      </c>
      <c r="AD1" s="147"/>
      <c r="AE1" s="147"/>
      <c r="AF1" s="147"/>
      <c r="AG1" s="147"/>
      <c r="AH1" s="147"/>
      <c r="AI1" s="147"/>
      <c r="AJ1" s="147"/>
      <c r="AK1" s="147"/>
      <c r="AL1" s="148"/>
    </row>
    <row r="2" spans="1:38" s="1" customFormat="1" ht="13.5" customHeight="1">
      <c r="A2" s="149" t="str">
        <f>[1]目次!D1</f>
        <v>備蓄品管理システム</v>
      </c>
      <c r="B2" s="248"/>
      <c r="C2" s="248"/>
      <c r="D2" s="248"/>
      <c r="E2" s="248"/>
      <c r="F2" s="248"/>
      <c r="G2" s="248"/>
      <c r="H2" s="249"/>
      <c r="I2" s="149" t="str">
        <f>[1]目次!D2</f>
        <v>第５章　ファイル設計</v>
      </c>
      <c r="J2" s="150"/>
      <c r="K2" s="150"/>
      <c r="L2" s="150"/>
      <c r="M2" s="150"/>
      <c r="N2" s="150"/>
      <c r="O2" s="151"/>
      <c r="P2" s="242" t="str">
        <f>[1]目次!A4</f>
        <v>５．２．２　ビルデータ登録</v>
      </c>
      <c r="Q2" s="243"/>
      <c r="R2" s="243"/>
      <c r="S2" s="243"/>
      <c r="T2" s="243"/>
      <c r="U2" s="243"/>
      <c r="V2" s="243"/>
      <c r="W2" s="243"/>
      <c r="X2" s="243"/>
      <c r="Y2" s="243"/>
      <c r="Z2" s="243" t="s">
        <v>3</v>
      </c>
      <c r="AA2" s="243"/>
      <c r="AB2" s="243"/>
      <c r="AC2" s="243">
        <v>42398</v>
      </c>
      <c r="AD2" s="243"/>
      <c r="AE2" s="243"/>
      <c r="AF2" s="243" t="s">
        <v>2</v>
      </c>
      <c r="AG2" s="243"/>
      <c r="AH2" s="243"/>
      <c r="AI2" s="243" t="s">
        <v>6</v>
      </c>
      <c r="AJ2" s="243"/>
      <c r="AK2" s="243"/>
      <c r="AL2" s="244"/>
    </row>
    <row r="3" spans="1:38" s="1" customFormat="1" ht="13.5" customHeight="1">
      <c r="A3" s="250"/>
      <c r="B3" s="251"/>
      <c r="C3" s="251"/>
      <c r="D3" s="251"/>
      <c r="E3" s="251"/>
      <c r="F3" s="251"/>
      <c r="G3" s="251"/>
      <c r="H3" s="252"/>
      <c r="I3" s="152"/>
      <c r="J3" s="153"/>
      <c r="K3" s="153"/>
      <c r="L3" s="153"/>
      <c r="M3" s="153"/>
      <c r="N3" s="153"/>
      <c r="O3" s="154"/>
      <c r="P3" s="245"/>
      <c r="Q3" s="246"/>
      <c r="R3" s="246"/>
      <c r="S3" s="246"/>
      <c r="T3" s="246"/>
      <c r="U3" s="246"/>
      <c r="V3" s="246"/>
      <c r="W3" s="246"/>
      <c r="X3" s="246"/>
      <c r="Y3" s="246"/>
      <c r="Z3" s="246" t="s">
        <v>8</v>
      </c>
      <c r="AA3" s="246"/>
      <c r="AB3" s="246"/>
      <c r="AC3" s="246"/>
      <c r="AD3" s="246"/>
      <c r="AE3" s="246"/>
      <c r="AF3" s="246" t="s">
        <v>4</v>
      </c>
      <c r="AG3" s="246"/>
      <c r="AH3" s="246"/>
      <c r="AI3" s="246"/>
      <c r="AJ3" s="246"/>
      <c r="AK3" s="246"/>
      <c r="AL3" s="247"/>
    </row>
    <row r="4" spans="1:38" s="1" customFormat="1" ht="13.5" customHeight="1">
      <c r="A4" s="24" t="s">
        <v>25</v>
      </c>
      <c r="B4" s="31"/>
      <c r="C4" s="25"/>
      <c r="D4" s="25"/>
      <c r="E4" s="33" t="str">
        <f>[1]目次!D8</f>
        <v>５．２．２．１　ビルデータCSV</v>
      </c>
      <c r="F4" s="34"/>
      <c r="G4" s="34"/>
      <c r="H4" s="34"/>
      <c r="I4" s="34"/>
      <c r="J4" s="34"/>
      <c r="K4" s="34"/>
      <c r="L4" s="34"/>
      <c r="M4" s="34"/>
      <c r="N4" s="34"/>
      <c r="O4" s="34"/>
      <c r="P4" s="24" t="s">
        <v>26</v>
      </c>
      <c r="Q4" s="31"/>
      <c r="R4" s="25"/>
      <c r="S4" s="25"/>
      <c r="T4" s="224" t="s">
        <v>196</v>
      </c>
      <c r="U4" s="225"/>
      <c r="V4" s="225"/>
      <c r="W4" s="225"/>
      <c r="X4" s="226"/>
      <c r="Y4" s="35"/>
      <c r="Z4" s="36"/>
      <c r="AA4" s="36"/>
      <c r="AB4" s="36"/>
      <c r="AC4" s="37"/>
      <c r="AD4" s="37"/>
      <c r="AE4" s="37"/>
      <c r="AF4" s="36"/>
      <c r="AG4" s="36"/>
      <c r="AH4" s="36"/>
      <c r="AI4" s="36"/>
      <c r="AJ4" s="37"/>
      <c r="AK4" s="37"/>
      <c r="AL4" s="38"/>
    </row>
    <row r="5" spans="1:38" s="40" customFormat="1" ht="13.5" customHeight="1">
      <c r="A5" s="65"/>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66"/>
    </row>
    <row r="6" spans="1:38" s="40" customFormat="1" ht="13.5" customHeight="1">
      <c r="A6" s="67"/>
      <c r="B6" s="41" t="s">
        <v>46</v>
      </c>
      <c r="C6" s="62"/>
      <c r="D6" s="62"/>
      <c r="E6" s="62"/>
      <c r="F6" s="62"/>
      <c r="G6" s="62"/>
      <c r="H6" s="62"/>
      <c r="I6" s="62"/>
      <c r="J6" s="62"/>
      <c r="K6" s="62"/>
      <c r="L6" s="62"/>
      <c r="M6" s="62"/>
      <c r="N6" s="62"/>
      <c r="O6" s="62"/>
      <c r="P6" s="62"/>
      <c r="Q6" s="62"/>
      <c r="R6" s="62"/>
      <c r="S6" s="62"/>
      <c r="T6" s="62"/>
      <c r="U6" s="62"/>
      <c r="V6" s="62"/>
      <c r="W6" s="62"/>
      <c r="X6" s="62"/>
      <c r="Y6" s="62"/>
      <c r="Z6" s="62"/>
      <c r="AA6" s="62"/>
      <c r="AB6" s="62"/>
      <c r="AC6" s="62"/>
      <c r="AD6" s="23"/>
      <c r="AE6" s="23"/>
      <c r="AF6" s="23"/>
      <c r="AG6" s="23"/>
      <c r="AH6" s="23"/>
      <c r="AI6" s="23"/>
      <c r="AJ6" s="23"/>
      <c r="AK6" s="23"/>
      <c r="AL6" s="68"/>
    </row>
    <row r="7" spans="1:38" s="40" customFormat="1" ht="13.5" customHeight="1">
      <c r="A7" s="67"/>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23"/>
      <c r="AE7" s="23"/>
      <c r="AF7" s="23"/>
      <c r="AG7" s="23"/>
      <c r="AH7" s="23"/>
      <c r="AI7" s="23"/>
      <c r="AJ7" s="23"/>
      <c r="AK7" s="23"/>
      <c r="AL7" s="68"/>
    </row>
    <row r="8" spans="1:38" s="40" customFormat="1" ht="13.5" customHeight="1">
      <c r="A8" s="67"/>
      <c r="B8" s="121" t="s">
        <v>134</v>
      </c>
      <c r="C8" s="62"/>
      <c r="D8" s="62"/>
      <c r="E8" s="62"/>
      <c r="F8" s="62"/>
      <c r="G8" s="62"/>
      <c r="H8" s="62"/>
      <c r="I8" s="62"/>
      <c r="J8" s="62"/>
      <c r="K8" s="62"/>
      <c r="L8" s="62"/>
      <c r="M8" s="62"/>
      <c r="N8" s="62"/>
      <c r="O8" s="62"/>
      <c r="P8" s="62"/>
      <c r="Q8" s="62"/>
      <c r="R8" s="62"/>
      <c r="S8" s="62"/>
      <c r="T8" s="62"/>
      <c r="U8" s="62"/>
      <c r="V8" s="62"/>
      <c r="W8" s="62"/>
      <c r="X8" s="62"/>
      <c r="Y8" s="62"/>
      <c r="Z8" s="62"/>
      <c r="AA8" s="62"/>
      <c r="AB8" s="62"/>
      <c r="AC8" s="62"/>
      <c r="AD8" s="23"/>
      <c r="AE8" s="23"/>
      <c r="AF8" s="23"/>
      <c r="AG8" s="23"/>
      <c r="AH8" s="23"/>
      <c r="AI8" s="23"/>
      <c r="AJ8" s="23"/>
      <c r="AK8" s="23"/>
      <c r="AL8" s="68"/>
    </row>
    <row r="9" spans="1:38" s="40" customFormat="1" ht="13.5" customHeight="1">
      <c r="A9" s="67"/>
      <c r="B9" s="43" t="s">
        <v>33</v>
      </c>
      <c r="C9" s="44"/>
      <c r="D9" s="45"/>
      <c r="E9" s="45"/>
      <c r="F9" s="46"/>
      <c r="G9" s="44" t="s">
        <v>7</v>
      </c>
      <c r="H9" s="45"/>
      <c r="I9" s="45"/>
      <c r="J9" s="45"/>
      <c r="K9" s="45"/>
      <c r="L9" s="45"/>
      <c r="M9" s="45"/>
      <c r="N9" s="45"/>
      <c r="O9" s="46"/>
      <c r="P9" s="47" t="s">
        <v>34</v>
      </c>
      <c r="Q9" s="45"/>
      <c r="R9" s="45"/>
      <c r="S9" s="45"/>
      <c r="T9" s="45"/>
      <c r="U9" s="45"/>
      <c r="V9" s="46"/>
      <c r="W9" s="47" t="s">
        <v>35</v>
      </c>
      <c r="X9" s="45"/>
      <c r="Y9" s="45"/>
      <c r="Z9" s="45"/>
      <c r="AA9" s="45"/>
      <c r="AB9" s="45"/>
      <c r="AC9" s="45"/>
      <c r="AD9" s="45"/>
      <c r="AE9" s="45"/>
      <c r="AF9" s="46"/>
      <c r="AG9" s="23"/>
      <c r="AH9" s="23"/>
      <c r="AI9" s="23"/>
      <c r="AJ9" s="23"/>
      <c r="AK9" s="23"/>
      <c r="AL9" s="68"/>
    </row>
    <row r="10" spans="1:38" s="23" customFormat="1" ht="13.5" customHeight="1">
      <c r="A10" s="67"/>
      <c r="B10" s="288" t="s">
        <v>197</v>
      </c>
      <c r="C10" s="289"/>
      <c r="D10" s="289"/>
      <c r="E10" s="289"/>
      <c r="F10" s="290"/>
      <c r="G10" s="291" t="s">
        <v>198</v>
      </c>
      <c r="H10" s="292"/>
      <c r="I10" s="292"/>
      <c r="J10" s="292"/>
      <c r="K10" s="292"/>
      <c r="L10" s="292"/>
      <c r="M10" s="292"/>
      <c r="N10" s="292"/>
      <c r="O10" s="293"/>
      <c r="P10" s="294" t="s">
        <v>136</v>
      </c>
      <c r="Q10" s="295"/>
      <c r="R10" s="295"/>
      <c r="S10" s="295"/>
      <c r="T10" s="295"/>
      <c r="U10" s="295"/>
      <c r="V10" s="296"/>
      <c r="W10" s="106"/>
      <c r="X10" s="107"/>
      <c r="Y10" s="107"/>
      <c r="Z10" s="107"/>
      <c r="AA10" s="107"/>
      <c r="AB10" s="107"/>
      <c r="AC10" s="107"/>
      <c r="AD10" s="107"/>
      <c r="AE10" s="107"/>
      <c r="AF10" s="108"/>
      <c r="AL10" s="68"/>
    </row>
    <row r="11" spans="1:38" s="23" customFormat="1" ht="13.5" customHeight="1">
      <c r="A11" s="67"/>
      <c r="B11" s="288" t="s">
        <v>199</v>
      </c>
      <c r="C11" s="289"/>
      <c r="D11" s="289"/>
      <c r="E11" s="289"/>
      <c r="F11" s="290"/>
      <c r="G11" s="291" t="s">
        <v>200</v>
      </c>
      <c r="H11" s="292"/>
      <c r="I11" s="292"/>
      <c r="J11" s="292"/>
      <c r="K11" s="292"/>
      <c r="L11" s="292"/>
      <c r="M11" s="292"/>
      <c r="N11" s="292"/>
      <c r="O11" s="293"/>
      <c r="P11" s="294" t="s">
        <v>136</v>
      </c>
      <c r="Q11" s="295"/>
      <c r="R11" s="295"/>
      <c r="S11" s="295"/>
      <c r="T11" s="295"/>
      <c r="U11" s="295"/>
      <c r="V11" s="296"/>
      <c r="W11" s="106"/>
      <c r="X11" s="107"/>
      <c r="Y11" s="107"/>
      <c r="Z11" s="107"/>
      <c r="AA11" s="107"/>
      <c r="AB11" s="107"/>
      <c r="AC11" s="107"/>
      <c r="AD11" s="107"/>
      <c r="AE11" s="107"/>
      <c r="AF11" s="108"/>
      <c r="AL11" s="68"/>
    </row>
    <row r="12" spans="1:38" s="23" customFormat="1" ht="13.5" customHeight="1">
      <c r="A12" s="67"/>
      <c r="B12" s="288" t="s">
        <v>201</v>
      </c>
      <c r="C12" s="289"/>
      <c r="D12" s="289"/>
      <c r="E12" s="289"/>
      <c r="F12" s="290"/>
      <c r="G12" s="291" t="s">
        <v>202</v>
      </c>
      <c r="H12" s="292"/>
      <c r="I12" s="292"/>
      <c r="J12" s="292"/>
      <c r="K12" s="292"/>
      <c r="L12" s="292"/>
      <c r="M12" s="292"/>
      <c r="N12" s="292"/>
      <c r="O12" s="293"/>
      <c r="P12" s="294" t="s">
        <v>136</v>
      </c>
      <c r="Q12" s="295"/>
      <c r="R12" s="295"/>
      <c r="S12" s="295"/>
      <c r="T12" s="295"/>
      <c r="U12" s="295"/>
      <c r="V12" s="296"/>
      <c r="W12" s="106"/>
      <c r="X12" s="107"/>
      <c r="Y12" s="107"/>
      <c r="Z12" s="107"/>
      <c r="AA12" s="107"/>
      <c r="AB12" s="107"/>
      <c r="AC12" s="107"/>
      <c r="AD12" s="107"/>
      <c r="AE12" s="107"/>
      <c r="AF12" s="108"/>
      <c r="AL12" s="68"/>
    </row>
    <row r="13" spans="1:38" s="23" customFormat="1" ht="13.5" customHeight="1">
      <c r="A13" s="67"/>
      <c r="B13" s="288" t="s">
        <v>203</v>
      </c>
      <c r="C13" s="289"/>
      <c r="D13" s="289"/>
      <c r="E13" s="289"/>
      <c r="F13" s="290"/>
      <c r="G13" s="297" t="s">
        <v>204</v>
      </c>
      <c r="H13" s="298"/>
      <c r="I13" s="298"/>
      <c r="J13" s="298"/>
      <c r="K13" s="298"/>
      <c r="L13" s="298"/>
      <c r="M13" s="298"/>
      <c r="N13" s="298"/>
      <c r="O13" s="299"/>
      <c r="P13" s="294" t="s">
        <v>136</v>
      </c>
      <c r="Q13" s="295"/>
      <c r="R13" s="295"/>
      <c r="S13" s="295"/>
      <c r="T13" s="295"/>
      <c r="U13" s="295"/>
      <c r="V13" s="296"/>
      <c r="W13" s="106"/>
      <c r="X13" s="107"/>
      <c r="Y13" s="107"/>
      <c r="Z13" s="107"/>
      <c r="AA13" s="107"/>
      <c r="AB13" s="107"/>
      <c r="AC13" s="107"/>
      <c r="AD13" s="107"/>
      <c r="AE13" s="107"/>
      <c r="AF13" s="108"/>
      <c r="AL13" s="68"/>
    </row>
    <row r="14" spans="1:38" s="40" customFormat="1" ht="13.5" customHeight="1">
      <c r="A14" s="67"/>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68"/>
    </row>
    <row r="15" spans="1:38" s="40" customFormat="1" ht="13.5" customHeight="1">
      <c r="A15" s="67"/>
      <c r="B15" s="121" t="s">
        <v>135</v>
      </c>
      <c r="C15" s="62"/>
      <c r="D15" s="62"/>
      <c r="E15" s="62"/>
      <c r="F15" s="62"/>
      <c r="G15" s="62"/>
      <c r="H15" s="62"/>
      <c r="I15" s="62"/>
      <c r="J15" s="62"/>
      <c r="K15" s="62"/>
      <c r="L15" s="62"/>
      <c r="M15" s="62"/>
      <c r="N15" s="62"/>
      <c r="O15" s="62"/>
      <c r="P15" s="62"/>
      <c r="Q15" s="62"/>
      <c r="R15" s="62"/>
      <c r="S15" s="62"/>
      <c r="T15" s="62"/>
      <c r="U15" s="62"/>
      <c r="V15" s="62"/>
      <c r="W15" s="62"/>
      <c r="X15" s="62"/>
      <c r="Y15" s="62"/>
      <c r="Z15" s="62"/>
      <c r="AA15" s="62"/>
      <c r="AB15" s="62"/>
      <c r="AC15" s="62"/>
      <c r="AD15" s="23"/>
      <c r="AE15" s="23"/>
      <c r="AF15" s="23"/>
      <c r="AG15" s="23"/>
      <c r="AH15" s="23"/>
      <c r="AI15" s="23"/>
      <c r="AJ15" s="23"/>
      <c r="AK15" s="23"/>
      <c r="AL15" s="68"/>
    </row>
    <row r="16" spans="1:38" s="40" customFormat="1" ht="13.5" customHeight="1">
      <c r="A16" s="67"/>
      <c r="B16" s="43" t="s">
        <v>33</v>
      </c>
      <c r="C16" s="44"/>
      <c r="D16" s="45"/>
      <c r="E16" s="45"/>
      <c r="F16" s="46"/>
      <c r="G16" s="44" t="s">
        <v>7</v>
      </c>
      <c r="H16" s="45"/>
      <c r="I16" s="45"/>
      <c r="J16" s="45"/>
      <c r="K16" s="45"/>
      <c r="L16" s="45"/>
      <c r="M16" s="45"/>
      <c r="N16" s="45"/>
      <c r="O16" s="46"/>
      <c r="P16" s="47" t="s">
        <v>34</v>
      </c>
      <c r="Q16" s="45"/>
      <c r="R16" s="45"/>
      <c r="S16" s="45"/>
      <c r="T16" s="45"/>
      <c r="U16" s="45"/>
      <c r="V16" s="46"/>
      <c r="W16" s="47" t="s">
        <v>35</v>
      </c>
      <c r="X16" s="45"/>
      <c r="Y16" s="45"/>
      <c r="Z16" s="45"/>
      <c r="AA16" s="45"/>
      <c r="AB16" s="45"/>
      <c r="AC16" s="45"/>
      <c r="AD16" s="45"/>
      <c r="AE16" s="45"/>
      <c r="AF16" s="46"/>
      <c r="AG16" s="23"/>
      <c r="AH16" s="23"/>
      <c r="AI16" s="23"/>
      <c r="AJ16" s="23"/>
      <c r="AK16" s="23"/>
      <c r="AL16" s="68"/>
    </row>
    <row r="17" spans="1:38" s="23" customFormat="1" ht="13.5" customHeight="1">
      <c r="A17" s="67"/>
      <c r="B17" s="300" t="s">
        <v>197</v>
      </c>
      <c r="C17" s="301"/>
      <c r="D17" s="301"/>
      <c r="E17" s="301"/>
      <c r="F17" s="302"/>
      <c r="G17" s="269" t="s">
        <v>137</v>
      </c>
      <c r="H17" s="306"/>
      <c r="I17" s="306"/>
      <c r="J17" s="306"/>
      <c r="K17" s="306"/>
      <c r="L17" s="306"/>
      <c r="M17" s="306"/>
      <c r="N17" s="306"/>
      <c r="O17" s="307"/>
      <c r="P17" s="303" t="s">
        <v>205</v>
      </c>
      <c r="Q17" s="304"/>
      <c r="R17" s="304"/>
      <c r="S17" s="304"/>
      <c r="T17" s="304"/>
      <c r="U17" s="304"/>
      <c r="V17" s="305"/>
      <c r="W17" s="122" t="s">
        <v>75</v>
      </c>
      <c r="X17" s="123"/>
      <c r="Y17" s="123"/>
      <c r="Z17" s="123"/>
      <c r="AA17" s="123"/>
      <c r="AB17" s="123"/>
      <c r="AC17" s="123"/>
      <c r="AD17" s="123"/>
      <c r="AE17" s="123"/>
      <c r="AF17" s="124"/>
      <c r="AL17" s="68"/>
    </row>
    <row r="18" spans="1:38" s="23" customFormat="1" ht="13.5" customHeight="1">
      <c r="A18" s="67"/>
      <c r="B18" s="125"/>
      <c r="C18" s="126"/>
      <c r="D18" s="126"/>
      <c r="E18" s="126"/>
      <c r="F18" s="127"/>
      <c r="G18" s="308"/>
      <c r="H18" s="309"/>
      <c r="I18" s="309"/>
      <c r="J18" s="309"/>
      <c r="K18" s="309"/>
      <c r="L18" s="309"/>
      <c r="M18" s="309"/>
      <c r="N18" s="309"/>
      <c r="O18" s="310"/>
      <c r="P18" s="128"/>
      <c r="Q18" s="129"/>
      <c r="R18" s="129"/>
      <c r="S18" s="129"/>
      <c r="T18" s="129"/>
      <c r="U18" s="129"/>
      <c r="V18" s="130"/>
      <c r="W18" s="131"/>
      <c r="X18" s="132"/>
      <c r="Y18" s="132"/>
      <c r="Z18" s="132"/>
      <c r="AA18" s="132"/>
      <c r="AB18" s="132"/>
      <c r="AC18" s="132"/>
      <c r="AD18" s="132"/>
      <c r="AE18" s="132"/>
      <c r="AF18" s="133"/>
      <c r="AL18" s="68"/>
    </row>
    <row r="19" spans="1:38" s="23" customFormat="1" ht="13.5" customHeight="1">
      <c r="A19" s="67"/>
      <c r="B19" s="288" t="s">
        <v>199</v>
      </c>
      <c r="C19" s="289"/>
      <c r="D19" s="289"/>
      <c r="E19" s="289"/>
      <c r="F19" s="290"/>
      <c r="G19" s="291" t="s">
        <v>206</v>
      </c>
      <c r="H19" s="292"/>
      <c r="I19" s="292"/>
      <c r="J19" s="292"/>
      <c r="K19" s="292"/>
      <c r="L19" s="292"/>
      <c r="M19" s="292"/>
      <c r="N19" s="292"/>
      <c r="O19" s="293"/>
      <c r="P19" s="294" t="s">
        <v>136</v>
      </c>
      <c r="Q19" s="295"/>
      <c r="R19" s="295"/>
      <c r="S19" s="295"/>
      <c r="T19" s="295"/>
      <c r="U19" s="295"/>
      <c r="V19" s="296"/>
      <c r="W19" s="106"/>
      <c r="X19" s="107"/>
      <c r="Y19" s="107"/>
      <c r="Z19" s="107"/>
      <c r="AA19" s="107"/>
      <c r="AB19" s="107"/>
      <c r="AC19" s="107"/>
      <c r="AD19" s="107"/>
      <c r="AE19" s="107"/>
      <c r="AF19" s="108"/>
      <c r="AL19" s="68"/>
    </row>
    <row r="20" spans="1:38" s="23" customFormat="1" ht="13.5" customHeight="1">
      <c r="A20" s="67"/>
      <c r="B20" s="288" t="s">
        <v>207</v>
      </c>
      <c r="C20" s="289"/>
      <c r="D20" s="289"/>
      <c r="E20" s="289"/>
      <c r="F20" s="290"/>
      <c r="G20" s="291" t="s">
        <v>200</v>
      </c>
      <c r="H20" s="292"/>
      <c r="I20" s="292"/>
      <c r="J20" s="292"/>
      <c r="K20" s="292"/>
      <c r="L20" s="292"/>
      <c r="M20" s="292"/>
      <c r="N20" s="292"/>
      <c r="O20" s="293"/>
      <c r="P20" s="294" t="s">
        <v>136</v>
      </c>
      <c r="Q20" s="295"/>
      <c r="R20" s="295"/>
      <c r="S20" s="295"/>
      <c r="T20" s="295"/>
      <c r="U20" s="295"/>
      <c r="V20" s="296"/>
      <c r="W20" s="106"/>
      <c r="X20" s="107"/>
      <c r="Y20" s="107"/>
      <c r="Z20" s="107"/>
      <c r="AA20" s="107"/>
      <c r="AB20" s="107"/>
      <c r="AC20" s="107"/>
      <c r="AD20" s="107"/>
      <c r="AE20" s="107"/>
      <c r="AF20" s="108"/>
      <c r="AL20" s="68"/>
    </row>
    <row r="21" spans="1:38" s="23" customFormat="1" ht="13.5" customHeight="1">
      <c r="A21" s="67"/>
      <c r="B21" s="288" t="s">
        <v>203</v>
      </c>
      <c r="C21" s="289"/>
      <c r="D21" s="289"/>
      <c r="E21" s="289"/>
      <c r="F21" s="290"/>
      <c r="G21" s="291" t="s">
        <v>202</v>
      </c>
      <c r="H21" s="292"/>
      <c r="I21" s="292"/>
      <c r="J21" s="292"/>
      <c r="K21" s="292"/>
      <c r="L21" s="292"/>
      <c r="M21" s="292"/>
      <c r="N21" s="292"/>
      <c r="O21" s="293"/>
      <c r="P21" s="294" t="s">
        <v>136</v>
      </c>
      <c r="Q21" s="295"/>
      <c r="R21" s="295"/>
      <c r="S21" s="295"/>
      <c r="T21" s="295"/>
      <c r="U21" s="295"/>
      <c r="V21" s="296"/>
      <c r="W21" s="106"/>
      <c r="X21" s="107"/>
      <c r="Y21" s="107"/>
      <c r="Z21" s="107"/>
      <c r="AA21" s="107"/>
      <c r="AB21" s="107"/>
      <c r="AC21" s="107"/>
      <c r="AD21" s="107"/>
      <c r="AE21" s="107"/>
      <c r="AF21" s="108"/>
      <c r="AL21" s="68"/>
    </row>
    <row r="22" spans="1:38" s="40" customFormat="1" ht="13.5" customHeight="1">
      <c r="A22" s="67"/>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68"/>
    </row>
    <row r="23" spans="1:38" s="9" customFormat="1" ht="13.5" customHeight="1">
      <c r="A23" s="74"/>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75"/>
    </row>
    <row r="24" spans="1:38" s="40" customFormat="1" ht="13.5" customHeight="1">
      <c r="A24" s="67"/>
      <c r="B24" s="41" t="s">
        <v>208</v>
      </c>
      <c r="C24" s="62"/>
      <c r="D24" s="62"/>
      <c r="E24" s="62"/>
      <c r="F24" s="62"/>
      <c r="G24" s="62"/>
      <c r="H24" s="62"/>
      <c r="I24" s="62"/>
      <c r="J24" s="62"/>
      <c r="K24" s="62"/>
      <c r="L24" s="62"/>
      <c r="M24" s="62"/>
      <c r="N24" s="62"/>
      <c r="O24" s="62"/>
      <c r="P24" s="62"/>
      <c r="Q24" s="23"/>
      <c r="R24" s="23"/>
      <c r="S24" s="23"/>
      <c r="T24" s="23"/>
      <c r="U24" s="23"/>
      <c r="V24" s="23"/>
      <c r="W24" s="23"/>
      <c r="X24" s="23"/>
      <c r="Y24" s="23"/>
      <c r="Z24" s="23"/>
      <c r="AA24" s="23"/>
      <c r="AB24" s="23"/>
      <c r="AC24" s="23"/>
      <c r="AD24" s="23"/>
      <c r="AE24" s="23"/>
      <c r="AF24" s="23"/>
      <c r="AG24" s="23"/>
      <c r="AH24" s="23"/>
      <c r="AI24" s="23"/>
      <c r="AJ24" s="23"/>
      <c r="AK24" s="23"/>
      <c r="AL24" s="68"/>
    </row>
    <row r="25" spans="1:38" s="40" customFormat="1" ht="13.5" customHeight="1">
      <c r="A25" s="67"/>
      <c r="B25" s="62"/>
      <c r="C25" s="62"/>
      <c r="D25" s="62"/>
      <c r="E25" s="62"/>
      <c r="F25" s="62"/>
      <c r="G25" s="62"/>
      <c r="H25" s="62"/>
      <c r="I25" s="62"/>
      <c r="J25" s="62"/>
      <c r="K25" s="62"/>
      <c r="L25" s="62"/>
      <c r="M25" s="62"/>
      <c r="N25" s="62"/>
      <c r="O25" s="62"/>
      <c r="P25" s="62"/>
      <c r="Q25" s="23"/>
      <c r="R25" s="23"/>
      <c r="S25" s="23"/>
      <c r="T25" s="23"/>
      <c r="U25" s="23"/>
      <c r="V25" s="23"/>
      <c r="W25" s="23"/>
      <c r="X25" s="23"/>
      <c r="Y25" s="23"/>
      <c r="Z25" s="23"/>
      <c r="AA25" s="23"/>
      <c r="AB25" s="23"/>
      <c r="AC25" s="23"/>
      <c r="AD25" s="23"/>
      <c r="AE25" s="23"/>
      <c r="AF25" s="23"/>
      <c r="AG25" s="23"/>
      <c r="AH25" s="23"/>
      <c r="AI25" s="23"/>
      <c r="AJ25" s="23"/>
      <c r="AK25" s="23"/>
      <c r="AL25" s="68"/>
    </row>
    <row r="26" spans="1:38" s="40" customFormat="1" ht="13.5" customHeight="1">
      <c r="A26" s="67"/>
      <c r="B26" s="49" t="s">
        <v>209</v>
      </c>
      <c r="C26" s="43" t="s">
        <v>1</v>
      </c>
      <c r="D26" s="44"/>
      <c r="E26" s="45"/>
      <c r="F26" s="45"/>
      <c r="G26" s="44"/>
      <c r="H26" s="45"/>
      <c r="I26" s="45"/>
      <c r="J26" s="46"/>
      <c r="K26" s="44" t="s">
        <v>36</v>
      </c>
      <c r="L26" s="45"/>
      <c r="M26" s="45"/>
      <c r="N26" s="45"/>
      <c r="O26" s="45"/>
      <c r="P26" s="45"/>
      <c r="Q26" s="45"/>
      <c r="R26" s="45"/>
      <c r="S26" s="46"/>
      <c r="T26" s="23"/>
      <c r="U26" s="23"/>
      <c r="V26" s="23"/>
      <c r="W26" s="23"/>
      <c r="X26" s="23"/>
      <c r="Y26" s="23"/>
      <c r="Z26" s="23"/>
      <c r="AA26" s="23"/>
      <c r="AB26" s="23"/>
      <c r="AC26" s="23"/>
      <c r="AD26" s="23"/>
      <c r="AE26" s="23"/>
      <c r="AF26" s="23"/>
      <c r="AG26" s="23"/>
      <c r="AH26" s="23"/>
      <c r="AI26" s="23"/>
      <c r="AJ26" s="23"/>
      <c r="AK26" s="23"/>
      <c r="AL26" s="68"/>
    </row>
    <row r="27" spans="1:38" s="23" customFormat="1" ht="13.5" customHeight="1">
      <c r="A27" s="67"/>
      <c r="B27" s="100">
        <v>1</v>
      </c>
      <c r="C27" s="101" t="s">
        <v>42</v>
      </c>
      <c r="D27" s="102"/>
      <c r="E27" s="102"/>
      <c r="F27" s="102"/>
      <c r="G27" s="102"/>
      <c r="H27" s="102"/>
      <c r="I27" s="102"/>
      <c r="J27" s="103"/>
      <c r="K27" s="53" t="s">
        <v>76</v>
      </c>
      <c r="L27" s="104"/>
      <c r="M27" s="104"/>
      <c r="N27" s="104"/>
      <c r="O27" s="104"/>
      <c r="P27" s="104"/>
      <c r="Q27" s="104"/>
      <c r="R27" s="104"/>
      <c r="S27" s="105"/>
      <c r="AL27" s="68"/>
    </row>
    <row r="28" spans="1:38" s="9" customFormat="1" ht="13.5" customHeight="1">
      <c r="A28" s="74"/>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75"/>
    </row>
    <row r="29" spans="1:38" s="9" customFormat="1" ht="13.5" customHeight="1">
      <c r="A29" s="74"/>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75"/>
    </row>
    <row r="30" spans="1:38" s="9" customFormat="1" ht="13.5" customHeight="1">
      <c r="A30" s="74"/>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75"/>
    </row>
    <row r="31" spans="1:38" s="9" customFormat="1" ht="13.5" customHeight="1">
      <c r="A31" s="74"/>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75"/>
    </row>
    <row r="32" spans="1:38" s="9" customFormat="1" ht="13.5" customHeight="1">
      <c r="A32" s="74"/>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75"/>
    </row>
    <row r="33" spans="1:38" s="9" customFormat="1" ht="13.5" customHeight="1">
      <c r="A33" s="74"/>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75"/>
    </row>
    <row r="34" spans="1:38" s="9" customFormat="1" ht="13.5" customHeight="1">
      <c r="A34" s="74"/>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75"/>
    </row>
    <row r="35" spans="1:38" s="9" customFormat="1" ht="13.5" customHeight="1">
      <c r="A35" s="74"/>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75"/>
    </row>
    <row r="36" spans="1:38" s="9" customFormat="1" ht="13.5" customHeight="1">
      <c r="A36" s="74"/>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75"/>
    </row>
    <row r="37" spans="1:38" s="9" customFormat="1" ht="13.5" customHeight="1">
      <c r="A37" s="74"/>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75"/>
    </row>
    <row r="38" spans="1:38" s="9" customFormat="1" ht="13.5" customHeight="1">
      <c r="A38" s="74"/>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75"/>
    </row>
    <row r="39" spans="1:38" s="9" customFormat="1" ht="13.5" customHeight="1">
      <c r="A39" s="74"/>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75"/>
    </row>
    <row r="40" spans="1:38" s="9" customFormat="1" ht="13.5" customHeight="1">
      <c r="A40" s="74"/>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75"/>
    </row>
    <row r="41" spans="1:38" s="40" customFormat="1" ht="13.5" customHeight="1">
      <c r="A41" s="69"/>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1"/>
    </row>
    <row r="42" spans="1:38" s="9" customFormat="1" ht="13.5" customHeight="1">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row>
    <row r="43" spans="1:38" s="9" customFormat="1" ht="13.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row>
    <row r="44" spans="1:38" s="9" customFormat="1" ht="13.5" customHeight="1">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row>
    <row r="45" spans="1:38" s="9" customFormat="1" ht="13.5" customHeight="1">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row>
    <row r="46" spans="1:38" s="9" customFormat="1" ht="13.5" customHeight="1">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row>
    <row r="47" spans="1:38" s="9" customFormat="1" ht="13.5" customHeight="1">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row>
    <row r="48" spans="1:38" s="9" customFormat="1" ht="13.5" customHeight="1">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row>
    <row r="49" spans="1:38" s="9" customFormat="1" ht="13.5" customHeight="1">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row>
    <row r="50" spans="1:38" s="9" customFormat="1" ht="13.5" customHeight="1">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row>
    <row r="51" spans="1:38" s="9" customFormat="1" ht="13.5" customHeight="1">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row>
    <row r="52" spans="1:38" s="9" customFormat="1" ht="13.5" customHeight="1">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row>
    <row r="53" spans="1:38" s="9" customFormat="1" ht="13.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row>
    <row r="54" spans="1:38" s="9" customFormat="1" ht="13.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row>
    <row r="55" spans="1:38" s="9" customFormat="1" ht="13.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row>
    <row r="56" spans="1:38" s="9" customFormat="1" ht="13.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row>
    <row r="57" spans="1:38" s="9" customFormat="1" ht="13.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row>
    <row r="58" spans="1:38" s="9" customFormat="1" ht="13.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row>
    <row r="59" spans="1:38" s="9" customFormat="1" ht="13.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row>
    <row r="60" spans="1:38" s="9" customFormat="1" ht="13.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row>
    <row r="61" spans="1:38" s="9" customFormat="1" ht="13.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row>
    <row r="62" spans="1:38" s="9" customFormat="1" ht="13.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row>
    <row r="63" spans="1:38" s="9" customFormat="1" ht="13.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row>
    <row r="64" spans="1:38" s="9" customFormat="1" ht="13.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row>
    <row r="65" spans="1:38" s="9" customFormat="1" ht="13.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row>
    <row r="66" spans="1:38" s="9" customFormat="1" ht="13.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row>
    <row r="67" spans="1:38" s="9" customFormat="1" ht="13.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row>
    <row r="68" spans="1:38" s="9" customFormat="1" ht="13.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row>
    <row r="69" spans="1:38" s="9" customFormat="1" ht="13.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row>
    <row r="70" spans="1:38" s="9" customFormat="1" ht="13.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row>
    <row r="71" spans="1:38" s="9" customFormat="1" ht="13.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row>
    <row r="72" spans="1:38" s="9" customFormat="1" ht="13.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row>
    <row r="73" spans="1:38" s="9" customFormat="1" ht="13.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row>
    <row r="74" spans="1:38" s="9" customFormat="1" ht="13.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row>
    <row r="75" spans="1:38" s="9" customFormat="1" ht="13.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row>
    <row r="76" spans="1:38" s="9" customFormat="1" ht="13.5" customHeight="1"/>
    <row r="77" spans="1:38" s="9" customFormat="1" ht="13.5" customHeight="1"/>
    <row r="78" spans="1:38" s="9" customFormat="1" ht="13.5" customHeight="1"/>
    <row r="79" spans="1:38" s="9" customFormat="1" ht="13.5" customHeight="1"/>
  </sheetData>
  <mergeCells count="29">
    <mergeCell ref="P1:AL1"/>
    <mergeCell ref="A2:H3"/>
    <mergeCell ref="I2:O3"/>
    <mergeCell ref="P2:AL3"/>
    <mergeCell ref="T4:X4"/>
    <mergeCell ref="B17:F17"/>
    <mergeCell ref="P17:V17"/>
    <mergeCell ref="G17:O18"/>
    <mergeCell ref="B10:F10"/>
    <mergeCell ref="G10:O10"/>
    <mergeCell ref="P10:V10"/>
    <mergeCell ref="B11:F11"/>
    <mergeCell ref="G11:O11"/>
    <mergeCell ref="P11:V11"/>
    <mergeCell ref="B12:F12"/>
    <mergeCell ref="G12:O12"/>
    <mergeCell ref="P12:V12"/>
    <mergeCell ref="B13:F13"/>
    <mergeCell ref="G13:O13"/>
    <mergeCell ref="P13:V13"/>
    <mergeCell ref="B21:F21"/>
    <mergeCell ref="G21:O21"/>
    <mergeCell ref="P21:V21"/>
    <mergeCell ref="B19:F19"/>
    <mergeCell ref="G19:O19"/>
    <mergeCell ref="P19:V19"/>
    <mergeCell ref="B20:F20"/>
    <mergeCell ref="G20:O20"/>
    <mergeCell ref="P20:V20"/>
  </mergeCells>
  <phoneticPr fontId="2"/>
  <pageMargins left="0.78740157480314965" right="0.78740157480314965" top="0.78740157480314965" bottom="0.78740157480314965" header="0.51181102362204722" footer="0.51181102362204722"/>
  <pageSetup paperSize="9" fitToHeight="0" orientation="landscape" r:id="rId1"/>
  <headerFooter scaleWithDoc="0" alignWithMargins="0">
    <oddFooter>&amp;C5.2.2-&amp;P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目次</vt:lpstr>
      <vt:lpstr>ビルデータCSV_1(ヘッダ)</vt:lpstr>
      <vt:lpstr>ビルデータCSV_1(データ)</vt:lpstr>
      <vt:lpstr>ビルデータCSV_2</vt:lpstr>
      <vt:lpstr>'ビルデータCSV_1(データ)'!Print_Area</vt:lpstr>
      <vt:lpstr>'ビルデータCSV_1(ヘッダ)'!Print_Area</vt:lpstr>
      <vt:lpstr>ビルデータCSV_2!Print_Area</vt:lpstr>
      <vt:lpstr>目次!Print_Area</vt:lpstr>
      <vt:lpstr>'ビルデータCSV_1(データ)'!Print_Titles</vt:lpstr>
      <vt:lpstr>'ビルデータCSV_1(ヘッダ)'!Print_Titles</vt:lpstr>
      <vt:lpstr>ビルデータCSV_2!Print_Titles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1001007105</dc:creator>
  <cp:lastModifiedBy>Quyền Lê</cp:lastModifiedBy>
  <cp:lastPrinted>2016-01-26T11:46:28Z</cp:lastPrinted>
  <dcterms:created xsi:type="dcterms:W3CDTF">2008-09-11T04:09:44Z</dcterms:created>
  <dcterms:modified xsi:type="dcterms:W3CDTF">2018-06-20T03:35:25Z</dcterms:modified>
</cp:coreProperties>
</file>